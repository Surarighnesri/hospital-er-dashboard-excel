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D:\DA PRACTICE\Excel Practice\My Practice\"/>
    </mc:Choice>
  </mc:AlternateContent>
  <xr:revisionPtr revIDLastSave="0" documentId="13_ncr:1_{634192F4-0E99-4759-B48C-947B45E0B04A}" xr6:coauthVersionLast="47" xr6:coauthVersionMax="47" xr10:uidLastSave="{00000000-0000-0000-0000-000000000000}"/>
  <bookViews>
    <workbookView xWindow="-120" yWindow="-120" windowWidth="20730" windowHeight="11160" xr2:uid="{42A653BD-805C-45E8-A0EE-4EECCD1D36F5}"/>
  </bookViews>
  <sheets>
    <sheet name="Pivot Report" sheetId="1" r:id="rId1"/>
    <sheet name="Dashboard" sheetId="2" r:id="rId2"/>
    <sheet name="Avg satisfaction score" sheetId="6" r:id="rId3"/>
    <sheet name="Avg wait time trend" sheetId="5" r:id="rId4"/>
    <sheet name="Daily ER No.of Patient" sheetId="4" r:id="rId5"/>
  </sheets>
  <definedNames>
    <definedName name="Slicer_Date__Month">#N/A</definedName>
    <definedName name="Slicer_Date__Year">#N/A</definedName>
  </definedNames>
  <calcPr calcId="191029"/>
  <pivotCaches>
    <pivotCache cacheId="916" r:id="rId6"/>
    <pivotCache cacheId="919" r:id="rId7"/>
    <pivotCache cacheId="922" r:id="rId8"/>
    <pivotCache cacheId="925" r:id="rId9"/>
    <pivotCache cacheId="928" r:id="rId10"/>
    <pivotCache cacheId="931" r:id="rId11"/>
    <pivotCache cacheId="934" r:id="rId12"/>
    <pivotCache cacheId="937" r:id="rId13"/>
    <pivotCache cacheId="940" r:id="rId14"/>
    <pivotCache cacheId="943" r:id="rId15"/>
    <pivotCache cacheId="946" r:id="rId16"/>
    <pivotCache cacheId="949"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1173f94-c6e5-48cb-b13f-b35b5ae5341c" name="Hospital Emergency Room Data" connection="Query - Hospital Emergency Room Data"/>
          <x15:modelTable id="Calendar_Table_4323e3ff-11d2-4e31-b202-e783679ab311"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2" i="1" l="1"/>
  <c r="B42" i="1"/>
  <c r="C42" i="1"/>
  <c r="B43" i="1"/>
  <c r="C43" i="1"/>
  <c r="A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DCBCD4-4913-43DE-817C-D01F57D85639}" name="Query - Calendar_Table" description="Connection to the 'Calendar_Table' query in the workbook." type="100" refreshedVersion="8" minRefreshableVersion="5">
    <extLst>
      <ext xmlns:x15="http://schemas.microsoft.com/office/spreadsheetml/2010/11/main" uri="{DE250136-89BD-433C-8126-D09CA5730AF9}">
        <x15:connection id="dce8775c-de00-4393-99be-10d93e511d19"/>
      </ext>
    </extLst>
  </connection>
  <connection id="2" xr16:uid="{D201C5B7-BD86-4AB7-8CAE-3A5BEA3EED6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38f3b0b-4848-4f1e-aee2-44e3d76979ce"/>
      </ext>
    </extLst>
  </connection>
  <connection id="3" xr16:uid="{990EF741-FBC5-4C7E-B1ED-0DE8AFF69E9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<sst xmlns="http://schemas.openxmlformats.org/spreadsheetml/2006/main" count="148" uniqueCount="69">
  <si>
    <t>Count of Patient Id</t>
  </si>
  <si>
    <t>Distinct Count of Patient Id</t>
  </si>
  <si>
    <t>No.Of Patients</t>
  </si>
  <si>
    <t>Average of Patient Waittime</t>
  </si>
  <si>
    <t>Average of Patient Satisfaction Score</t>
  </si>
  <si>
    <t>Male</t>
  </si>
  <si>
    <t>None</t>
  </si>
  <si>
    <t>Admitted</t>
  </si>
  <si>
    <t>60-69</t>
  </si>
  <si>
    <t>Delay</t>
  </si>
  <si>
    <t>70-79</t>
  </si>
  <si>
    <t>10-19</t>
  </si>
  <si>
    <t>Ontime</t>
  </si>
  <si>
    <t>40-49</t>
  </si>
  <si>
    <t>50-59</t>
  </si>
  <si>
    <t>20-29</t>
  </si>
  <si>
    <t>0-09</t>
  </si>
  <si>
    <t>30-39</t>
  </si>
  <si>
    <t>Female</t>
  </si>
  <si>
    <t>Not Admitted</t>
  </si>
  <si>
    <t>Row Labels</t>
  </si>
  <si>
    <t>Grand Total</t>
  </si>
  <si>
    <t>2023</t>
  </si>
  <si>
    <t>Count of Patient Admission Flag</t>
  </si>
  <si>
    <t>Count of Patient Admission Flag2</t>
  </si>
  <si>
    <t>Admission Status</t>
  </si>
  <si>
    <t>Patient</t>
  </si>
  <si>
    <t>% of Total</t>
  </si>
  <si>
    <t>Status in %</t>
  </si>
  <si>
    <t>Count of Patient attend status</t>
  </si>
  <si>
    <t>Count of Patient Gender</t>
  </si>
  <si>
    <t>Cardiology</t>
  </si>
  <si>
    <t>Gastroenterology</t>
  </si>
  <si>
    <t>General Practice</t>
  </si>
  <si>
    <t>Neurology</t>
  </si>
  <si>
    <t>Orthopedics</t>
  </si>
  <si>
    <t>Physiotherapy</t>
  </si>
  <si>
    <t>Renal</t>
  </si>
  <si>
    <t>Count of Department Referral</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</si>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</sst>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8"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0" fillId="0" borderId="0" xfId="0" applyNumberFormat="1"/>
    <xf numFmtId="0" fontId="0" fillId="0" borderId="0" xfId="0" pivotButton="1"/>
    <xf numFmtId="0" fontId="0" fillId="3" borderId="0" xfId="0" applyFill="1"/>
    <xf numFmtId="2" fontId="0" fillId="0" borderId="0" xfId="0" applyNumberFormat="1"/>
    <xf numFmtId="0" fontId="0" fillId="0" borderId="0" xfId="0" applyAlignment="1">
      <alignment horizontal="left"/>
    </xf>
    <xf numFmtId="10" fontId="0" fillId="0" borderId="0" xfId="0" applyNumberFormat="1"/>
    <xf numFmtId="0" fontId="0" fillId="2" borderId="0" xfId="0" applyFill="1" applyAlignment="1">
      <alignment horizontal="center" vertical="center"/>
    </xf>
    <xf numFmtId="0" fontId="0" fillId="0" borderId="0" xfId="0" applyAlignment="1">
      <alignment horizontal="center" vertical="center"/>
    </xf>
    <xf numFmtId="9" fontId="0" fillId="0" borderId="0" xfId="1" applyFont="1" applyAlignment="1">
      <alignment horizontal="center" vertical="center"/>
    </xf>
    <xf numFmtId="1" fontId="0" fillId="0" borderId="0" xfId="0" applyNumberFormat="1"/>
  </cellXfs>
  <cellStyles count="2">
    <cellStyle name="Normal" xfId="0" builtinId="0"/>
    <cellStyle name="Percent" xfId="1" builtinId="5"/>
  </cellStyles>
  <dxfs count="356">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font>
        <b/>
        <color theme="1"/>
      </font>
      <border>
        <bottom style="thin">
          <color theme="7"/>
        </bottom>
        <vertical/>
        <horizontal/>
      </border>
    </dxf>
    <dxf>
      <font>
        <color theme="1"/>
      </font>
      <border diagonalUp="0" diagonalDown="0">
        <left/>
        <right/>
        <top/>
        <bottom/>
        <vertical/>
        <horizontal/>
      </border>
    </dxf>
    <dxf>
      <font>
        <sz val="8"/>
        <color rgb="FF002060"/>
      </font>
      <fill>
        <patternFill>
          <bgColor theme="1" tint="0.499984740745262"/>
        </patternFill>
      </fill>
    </dxf>
    <dxf>
      <font>
        <b/>
        <color theme="1"/>
      </font>
      <border>
        <bottom style="thin">
          <color theme="9"/>
        </bottom>
        <vertical/>
        <horizontal/>
      </border>
    </dxf>
    <dxf>
      <font>
        <sz val="8"/>
        <color theme="1"/>
      </font>
      <border diagonalUp="0" diagonalDown="0">
        <left/>
        <right/>
        <top/>
        <bottom/>
        <vertical/>
        <horizontal/>
      </border>
    </dxf>
  </dxfs>
  <tableStyles count="4" defaultTableStyle="TableStyleMedium2" defaultPivotStyle="PivotStyleLight16">
    <tableStyle name="Slicer" pivot="0" table="0" count="10" xr9:uid="{9BA52E99-7BD1-4742-92CD-701A9BE029ED}">
      <tableStyleElement type="wholeTable" dxfId="355"/>
      <tableStyleElement type="headerRow" dxfId="354"/>
    </tableStyle>
    <tableStyle name="Slicer Style" pivot="0" table="0" count="1" xr9:uid="{5B3A9DC4-7BC1-4392-83D9-55307169CBEF}">
      <tableStyleElement type="wholeTable" dxfId="353"/>
    </tableStyle>
    <tableStyle name="Slicer Style 1" pivot="0" table="0" count="1" xr9:uid="{83A189F8-D44D-4209-A824-661E2C455CDA}"/>
    <tableStyle name="SlicerStyleDark" pivot="0" table="0" count="10" xr9:uid="{BA0007CD-16C7-4F9D-A44E-DE7081ACC05C}">
      <tableStyleElement type="wholeTable" dxfId="352"/>
      <tableStyleElement type="headerRow" dxfId="351"/>
    </tableStyle>
  </tableStyles>
  <extLst>
    <ext xmlns:x14="http://schemas.microsoft.com/office/spreadsheetml/2009/9/main" uri="{46F421CA-312F-682f-3DD2-61675219B42D}">
      <x14:dxfs count="1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16"/>
            <x14:slicerStyleElement type="unselectedItemWithNoData" dxfId="15"/>
            <x14:slicerStyleElement type="selectedItemWithData" dxfId="14"/>
            <x14:slicerStyleElement type="selectedItemWithNoData" dxfId="13"/>
            <x14:slicerStyleElement type="hoveredUnselectedItemWithData" dxfId="12"/>
            <x14:slicerStyleElement type="hoveredSelectedItemWithData" dxfId="11"/>
            <x14:slicerStyleElement type="hoveredUnselectedItemWithNoData" dxfId="10"/>
            <x14:slicerStyleElement type="hoveredSelectedItemWithNoData" dxfId="9"/>
          </x14:slicerStyleElements>
        </x14:slicerStyle>
        <x14:slicerStyle name="Slicer Style"/>
        <x14:slicerStyle name="Slicer Style 1">
          <x14:slicerStyleElements>
            <x14:slicerStyleElement type="selectedItemWithData" dxfId="8"/>
          </x14:slicerStyleElements>
        </x14:slicerStyle>
        <x14:slicerStyle name="SlicerStyleDark">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 emergency room.xlsx]Pivot Report!admission flag</c:name>
    <c:fmtId val="0"/>
  </c:pivotSource>
  <c:chart>
    <c:autoTitleDeleted val="0"/>
    <c:pivotFmts>
      <c:pivotFmt>
        <c:idx val="0"/>
        <c:spPr>
          <a:solidFill>
            <a:schemeClr val="accent4">
              <a:lumMod val="75000"/>
            </a:schemeClr>
          </a:solidFill>
          <a:ln>
            <a:noFill/>
          </a:ln>
          <a:effectLst/>
        </c:spPr>
        <c:marker>
          <c:symbol val="none"/>
        </c:marker>
        <c:dLbl>
          <c:idx val="0"/>
          <c:spPr>
            <a:noFill/>
            <a:ln>
              <a:noFill/>
            </a:ln>
            <a:effectLst/>
          </c:spPr>
          <c:txPr>
            <a:bodyPr wrap="none" lIns="38100" tIns="19050" rIns="38100" bIns="19050" anchor="ctr">
              <a:spAutoFit/>
            </a:bodyPr>
            <a:lstStyle/>
            <a:p>
              <a:pPr>
                <a:defRPr/>
              </a:pPr>
              <a:endParaRPr lang="en-US"/>
            </a:p>
          </c:txPr>
          <c:dLblPos val="in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spPr>
            <a:noFill/>
            <a:ln>
              <a:noFill/>
            </a:ln>
            <a:effectLst/>
          </c:spPr>
          <c:txPr>
            <a:bodyPr rot="0" wrap="none" lIns="38100" tIns="19050" rIns="38100" bIns="19050" anchor="t" anchorCtr="0">
              <a:spAutoFit/>
            </a:bodyPr>
            <a:lstStyle/>
            <a:p>
              <a:pPr>
                <a:defRPr/>
              </a:pPr>
              <a:endParaRPr lang="en-US"/>
            </a:p>
          </c:txPr>
          <c:dLblPos val="in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2"/>
        <c:dLbl>
          <c:idx val="0"/>
          <c:layout>
            <c:manualLayout>
              <c:x val="-1.1382498756282996E-2"/>
              <c:y val="-0.16216216216216217"/>
            </c:manualLayout>
          </c:layout>
          <c:tx>
            <c:rich>
              <a:bodyPr wrap="none" lIns="38100" tIns="19050" rIns="38100" bIns="19050" anchor="ctr">
                <a:noAutofit/>
              </a:bodyPr>
              <a:lstStyle/>
              <a:p>
                <a:pPr>
                  <a:defRPr/>
                </a:pPr>
                <a:fld id="{F360AA4C-991F-461C-87EB-DAF34CC961DC}" type="CELLRANGE">
                  <a:rPr lang="en-US"/>
                  <a:pPr>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163933920024703"/>
                  <c:h val="0.37310065971483292"/>
                </c:manualLayout>
              </c15:layout>
              <c15:dlblFieldTable/>
              <c15:showDataLabelsRange val="1"/>
            </c:ext>
          </c:extLst>
        </c:dLbl>
      </c:pivotFmt>
      <c:pivotFmt>
        <c:idx val="3"/>
        <c:dLbl>
          <c:idx val="0"/>
          <c:layout>
            <c:manualLayout>
              <c:x val="-2.6679018063919279E-3"/>
              <c:y val="-7.2072072072072058E-2"/>
            </c:manualLayout>
          </c:layout>
          <c:tx>
            <c:rich>
              <a:bodyPr wrap="none" lIns="38100" tIns="19050" rIns="38100" bIns="19050" anchor="ctr">
                <a:noAutofit/>
              </a:bodyPr>
              <a:lstStyle/>
              <a:p>
                <a:pPr>
                  <a:defRPr/>
                </a:pPr>
                <a:fld id="{99DA9F37-00D4-4824-8183-5FEFCD157AD8}" type="CELLRANGE">
                  <a:rPr lang="en-US"/>
                  <a:pPr>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163933920024703"/>
                  <c:h val="0.40913669575086897"/>
                </c:manualLayout>
              </c15:layout>
              <c15:dlblFieldTable/>
              <c15:showDataLabelsRange val="1"/>
            </c:ext>
          </c:extLst>
        </c:dLbl>
      </c:pivotFmt>
      <c:pivotFmt>
        <c:idx val="4"/>
        <c:dLbl>
          <c:idx val="0"/>
          <c:spPr>
            <a:noFill/>
            <a:ln>
              <a:noFill/>
            </a:ln>
            <a:effectLst/>
          </c:spPr>
          <c:txPr>
            <a:bodyPr rot="0" wrap="none" lIns="38100" tIns="19050" rIns="38100" bIns="19050" anchor="t" anchorCtr="0">
              <a:spAutoFit/>
            </a:bodyPr>
            <a:lstStyle/>
            <a:p>
              <a:pPr>
                <a:defRPr/>
              </a:pPr>
              <a:endParaRPr lang="en-US"/>
            </a:p>
          </c:txPr>
        </c:dLbl>
      </c:pivotFmt>
      <c:pivotFmt>
        <c:idx val="5"/>
        <c:dLbl>
          <c:idx val="0"/>
          <c:spPr>
            <a:noFill/>
            <a:ln>
              <a:noFill/>
            </a:ln>
            <a:effectLst/>
          </c:spPr>
          <c:txPr>
            <a:bodyPr rot="0" wrap="none" lIns="38100" tIns="19050" rIns="38100" bIns="19050" anchor="t" anchorCtr="0">
              <a:spAutoFit/>
            </a:bodyPr>
            <a:lstStyle/>
            <a:p>
              <a:pPr>
                <a:defRPr/>
              </a:pPr>
              <a:endParaRPr lang="en-US"/>
            </a:p>
          </c:txPr>
        </c:dLbl>
      </c:pivotFmt>
    </c:pivotFmts>
    <c:plotArea>
      <c:layout>
        <c:manualLayout>
          <c:layoutTarget val="inner"/>
          <c:xMode val="edge"/>
          <c:yMode val="edge"/>
          <c:x val="6.5359477124183009E-3"/>
          <c:y val="0.12753623188405797"/>
          <c:w val="0.92156862745098034"/>
          <c:h val="0.74492753623188401"/>
        </c:manualLayout>
      </c:layout>
      <c:barChart>
        <c:barDir val="bar"/>
        <c:grouping val="clustered"/>
        <c:varyColors val="0"/>
        <c:ser>
          <c:idx val="0"/>
          <c:order val="0"/>
          <c:tx>
            <c:strRef>
              <c:f>'Pivot Report'!$C$36:$C$37</c:f>
              <c:strCache>
                <c:ptCount val="1"/>
                <c:pt idx="0">
                  <c:v>Count of Patient Admission Flag</c:v>
                </c:pt>
              </c:strCache>
            </c:strRef>
          </c:tx>
          <c:spPr>
            <a:solidFill>
              <a:schemeClr val="accent4">
                <a:lumMod val="75000"/>
              </a:schemeClr>
            </a:solidFill>
            <a:ln>
              <a:noFill/>
            </a:ln>
            <a:effectLst/>
          </c:spPr>
          <c:invertIfNegative val="0"/>
          <c:dLbls>
            <c:dLbl>
              <c:idx val="0"/>
              <c:layout>
                <c:manualLayout>
                  <c:x val="-2.6679018063919279E-3"/>
                  <c:y val="-7.2072072072072058E-2"/>
                </c:manualLayout>
              </c:layout>
              <c:tx>
                <c:rich>
                  <a:bodyPr wrap="none" lIns="38100" tIns="19050" rIns="38100" bIns="19050" anchor="ctr">
                    <a:noAutofit/>
                  </a:bodyPr>
                  <a:lstStyle/>
                  <a:p>
                    <a:pPr>
                      <a:defRPr/>
                    </a:pPr>
                    <a:fld id="{99DA9F37-00D4-4824-8183-5FEFCD157AD8}" type="CELLRANGE">
                      <a:rPr lang="en-US"/>
                      <a:pPr>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163933920024703"/>
                      <c:h val="0.40913669575086897"/>
                    </c:manualLayout>
                  </c15:layout>
                  <c15:dlblFieldTable/>
                  <c15:showDataLabelsRange val="1"/>
                </c:ext>
                <c:ext xmlns:c16="http://schemas.microsoft.com/office/drawing/2014/chart" uri="{C3380CC4-5D6E-409C-BE32-E72D297353CC}">
                  <c16:uniqueId val="{0000000D-980B-454D-9CB7-D2E97850FE8F}"/>
                </c:ext>
              </c:extLst>
            </c:dLbl>
            <c:dLbl>
              <c:idx val="1"/>
              <c:layout>
                <c:manualLayout>
                  <c:x val="-1.1382498756282996E-2"/>
                  <c:y val="-0.16216216216216217"/>
                </c:manualLayout>
              </c:layout>
              <c:tx>
                <c:rich>
                  <a:bodyPr wrap="none" lIns="38100" tIns="19050" rIns="38100" bIns="19050" anchor="ctr">
                    <a:noAutofit/>
                  </a:bodyPr>
                  <a:lstStyle/>
                  <a:p>
                    <a:pPr>
                      <a:defRPr/>
                    </a:pPr>
                    <a:fld id="{F360AA4C-991F-461C-87EB-DAF34CC961DC}" type="CELLRANGE">
                      <a:rPr lang="en-US"/>
                      <a:pPr>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163933920024703"/>
                      <c:h val="0.37310065971483292"/>
                    </c:manualLayout>
                  </c15:layout>
                  <c15:dlblFieldTable/>
                  <c15:showDataLabelsRange val="1"/>
                </c:ext>
                <c:ext xmlns:c16="http://schemas.microsoft.com/office/drawing/2014/chart" uri="{C3380CC4-5D6E-409C-BE32-E72D297353CC}">
                  <c16:uniqueId val="{0000000E-980B-454D-9CB7-D2E97850FE8F}"/>
                </c:ext>
              </c:extLst>
            </c:dLbl>
            <c:spPr>
              <a:noFill/>
              <a:ln>
                <a:noFill/>
              </a:ln>
              <a:effectLst/>
            </c:spPr>
            <c:txPr>
              <a:bodyPr wrap="none" lIns="38100" tIns="19050" rIns="38100" bIns="19050" anchor="ctr">
                <a:spAutoFit/>
              </a:bodyPr>
              <a:lstStyle/>
              <a:p>
                <a:pPr>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Report'!$C$36:$C$37</c:f>
              <c:strCache>
                <c:ptCount val="2"/>
                <c:pt idx="0">
                  <c:v>Admitted</c:v>
                </c:pt>
                <c:pt idx="1">
                  <c:v>Not Admitted</c:v>
                </c:pt>
              </c:strCache>
            </c:strRef>
          </c:cat>
          <c:val>
            <c:numRef>
              <c:f>'Pivot Report'!$C$36:$C$37</c:f>
              <c:numCache>
                <c:formatCode>0.00</c:formatCode>
                <c:ptCount val="2"/>
                <c:pt idx="0">
                  <c:v>252</c:v>
                </c:pt>
                <c:pt idx="1">
                  <c:v>254</c:v>
                </c:pt>
              </c:numCache>
            </c:numRef>
          </c:val>
          <c:extLst>
            <c:ext xmlns:c15="http://schemas.microsoft.com/office/drawing/2012/chart" uri="{02D57815-91ED-43cb-92C2-25804820EDAC}">
              <c15:datalabelsRange>
                <c15:f>'Pivot Report'!$C$36:$C$37</c15:f>
                <c15:dlblRangeCache>
                  <c:ptCount val="2"/>
                  <c:pt idx="0">
                    <c:v>49.80%</c:v>
                  </c:pt>
                  <c:pt idx="1">
                    <c:v>50.20%</c:v>
                  </c:pt>
                </c15:dlblRangeCache>
              </c15:datalabelsRange>
            </c:ext>
            <c:ext xmlns:c16="http://schemas.microsoft.com/office/drawing/2014/chart" uri="{C3380CC4-5D6E-409C-BE32-E72D297353CC}">
              <c16:uniqueId val="{00000009-980B-454D-9CB7-D2E97850FE8F}"/>
            </c:ext>
          </c:extLst>
        </c:ser>
        <c:ser>
          <c:idx val="1"/>
          <c:order val="1"/>
          <c:tx>
            <c:strRef>
              <c:f>'Pivot Report'!$C$36:$C$37</c:f>
              <c:strCache>
                <c:ptCount val="1"/>
                <c:pt idx="0">
                  <c:v>Count of Patient Admission Flag2</c:v>
                </c:pt>
              </c:strCache>
            </c:strRef>
          </c:tx>
          <c:spPr>
            <a:solidFill>
              <a:schemeClr val="accent2"/>
            </a:solidFill>
            <a:ln>
              <a:noFill/>
            </a:ln>
            <a:effectLst/>
          </c:spPr>
          <c:invertIfNegative val="0"/>
          <c:dLbls>
            <c:spPr>
              <a:noFill/>
              <a:ln>
                <a:noFill/>
              </a:ln>
              <a:effectLst/>
            </c:spPr>
            <c:txPr>
              <a:bodyPr rot="0" wrap="none" lIns="38100" tIns="19050" rIns="38100" bIns="19050" anchor="t" anchorCtr="0">
                <a:spAutoFit/>
              </a:bodyPr>
              <a:lstStyle/>
              <a:p>
                <a:pPr>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Report'!$C$36:$C$37</c:f>
              <c:strCache>
                <c:ptCount val="2"/>
                <c:pt idx="0">
                  <c:v>Admitted</c:v>
                </c:pt>
                <c:pt idx="1">
                  <c:v>Not Admitted</c:v>
                </c:pt>
              </c:strCache>
            </c:strRef>
          </c:cat>
          <c:val>
            <c:numRef>
              <c:f>'Pivot Report'!$C$36:$C$37</c:f>
              <c:numCache>
                <c:formatCode>0.00%</c:formatCode>
                <c:ptCount val="2"/>
                <c:pt idx="0">
                  <c:v>0.49802371541501977</c:v>
                </c:pt>
                <c:pt idx="1">
                  <c:v>0.50197628458498023</c:v>
                </c:pt>
              </c:numCache>
            </c:numRef>
          </c:val>
          <c:extLst>
            <c:ext xmlns:c16="http://schemas.microsoft.com/office/drawing/2014/chart" uri="{C3380CC4-5D6E-409C-BE32-E72D297353CC}">
              <c16:uniqueId val="{0000000A-980B-454D-9CB7-D2E97850FE8F}"/>
            </c:ext>
          </c:extLst>
        </c:ser>
        <c:dLbls>
          <c:dLblPos val="inEnd"/>
          <c:showLegendKey val="0"/>
          <c:showVal val="1"/>
          <c:showCatName val="0"/>
          <c:showSerName val="0"/>
          <c:showPercent val="0"/>
          <c:showBubbleSize val="0"/>
        </c:dLbls>
        <c:gapWidth val="0"/>
        <c:axId val="640753999"/>
        <c:axId val="640729199"/>
      </c:barChart>
      <c:catAx>
        <c:axId val="640753999"/>
        <c:scaling>
          <c:orientation val="minMax"/>
        </c:scaling>
        <c:delete val="1"/>
        <c:axPos val="l"/>
        <c:numFmt formatCode="General" sourceLinked="1"/>
        <c:majorTickMark val="none"/>
        <c:minorTickMark val="none"/>
        <c:tickLblPos val="nextTo"/>
        <c:crossAx val="640729199"/>
        <c:crosses val="autoZero"/>
        <c:auto val="1"/>
        <c:lblAlgn val="ctr"/>
        <c:lblOffset val="100"/>
        <c:noMultiLvlLbl val="0"/>
      </c:catAx>
      <c:valAx>
        <c:axId val="640729199"/>
        <c:scaling>
          <c:orientation val="minMax"/>
        </c:scaling>
        <c:delete val="1"/>
        <c:axPos val="b"/>
        <c:numFmt formatCode="0.00" sourceLinked="1"/>
        <c:majorTickMark val="none"/>
        <c:minorTickMark val="none"/>
        <c:tickLblPos val="nextTo"/>
        <c:crossAx val="64075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 emergency room.xlsx]Pivot Report!Daily Trends of no.of atients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Report'!$D$2</c:f>
              <c:strCache>
                <c:ptCount val="1"/>
                <c:pt idx="0">
                  <c:v>Total</c:v>
                </c:pt>
              </c:strCache>
            </c:strRef>
          </c:tx>
          <c:spPr>
            <a:solidFill>
              <a:schemeClr val="accent1"/>
            </a:solidFill>
            <a:ln w="25400">
              <a:noFill/>
            </a:ln>
            <a:effectLst/>
          </c:spPr>
          <c:cat>
            <c:strRef>
              <c:f>'Pivot Report'!$C$3:$C$33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Report'!$D$3:$D$33</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2-AE03-4E7C-B373-AABDEDE9AA86}"/>
            </c:ext>
          </c:extLst>
        </c:ser>
        <c:dLbls>
          <c:showLegendKey val="0"/>
          <c:showVal val="0"/>
          <c:showCatName val="0"/>
          <c:showSerName val="0"/>
          <c:showPercent val="0"/>
          <c:showBubbleSize val="0"/>
        </c:dLbls>
        <c:axId val="812409343"/>
        <c:axId val="812409839"/>
      </c:areaChart>
      <c:catAx>
        <c:axId val="812409343"/>
        <c:scaling>
          <c:orientation val="minMax"/>
        </c:scaling>
        <c:delete val="1"/>
        <c:axPos val="b"/>
        <c:numFmt formatCode="General" sourceLinked="1"/>
        <c:majorTickMark val="out"/>
        <c:minorTickMark val="none"/>
        <c:tickLblPos val="nextTo"/>
        <c:crossAx val="812409839"/>
        <c:crosses val="autoZero"/>
        <c:auto val="1"/>
        <c:lblAlgn val="ctr"/>
        <c:lblOffset val="100"/>
        <c:noMultiLvlLbl val="0"/>
      </c:catAx>
      <c:valAx>
        <c:axId val="812409839"/>
        <c:scaling>
          <c:orientation val="minMax"/>
        </c:scaling>
        <c:delete val="1"/>
        <c:axPos val="l"/>
        <c:numFmt formatCode="General" sourceLinked="1"/>
        <c:majorTickMark val="none"/>
        <c:minorTickMark val="none"/>
        <c:tickLblPos val="nextTo"/>
        <c:crossAx val="8124093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 emergency room.xlsx]Pivot Report!Avg waittime dailty trend</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Report'!$G$2</c:f>
              <c:strCache>
                <c:ptCount val="1"/>
                <c:pt idx="0">
                  <c:v>Total</c:v>
                </c:pt>
              </c:strCache>
            </c:strRef>
          </c:tx>
          <c:spPr>
            <a:solidFill>
              <a:schemeClr val="accent1"/>
            </a:solidFill>
            <a:ln w="25400">
              <a:noFill/>
            </a:ln>
            <a:effectLst/>
          </c:spPr>
          <c:cat>
            <c:strRef>
              <c:f>'Pivot Report'!$F$3:$F$33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Report'!$G$3:$G$33</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2-523A-4A96-900F-EF70F1883F22}"/>
            </c:ext>
          </c:extLst>
        </c:ser>
        <c:dLbls>
          <c:showLegendKey val="0"/>
          <c:showVal val="0"/>
          <c:showCatName val="0"/>
          <c:showSerName val="0"/>
          <c:showPercent val="0"/>
          <c:showBubbleSize val="0"/>
        </c:dLbls>
        <c:axId val="812450015"/>
        <c:axId val="812443071"/>
      </c:areaChart>
      <c:catAx>
        <c:axId val="812450015"/>
        <c:scaling>
          <c:orientation val="minMax"/>
        </c:scaling>
        <c:delete val="1"/>
        <c:axPos val="b"/>
        <c:numFmt formatCode="General" sourceLinked="1"/>
        <c:majorTickMark val="out"/>
        <c:minorTickMark val="none"/>
        <c:tickLblPos val="nextTo"/>
        <c:crossAx val="812443071"/>
        <c:crosses val="autoZero"/>
        <c:auto val="1"/>
        <c:lblAlgn val="ctr"/>
        <c:lblOffset val="100"/>
        <c:noMultiLvlLbl val="0"/>
      </c:catAx>
      <c:valAx>
        <c:axId val="812443071"/>
        <c:scaling>
          <c:orientation val="minMax"/>
        </c:scaling>
        <c:delete val="1"/>
        <c:axPos val="l"/>
        <c:numFmt formatCode="0.00" sourceLinked="1"/>
        <c:majorTickMark val="none"/>
        <c:minorTickMark val="none"/>
        <c:tickLblPos val="nextTo"/>
        <c:crossAx val="8124500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 emergency room.xlsx]Pivot Report!avg satisfaction score</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725373614012509E-3"/>
          <c:y val="0.41496598639455784"/>
          <c:w val="0.96451122181155924"/>
          <c:h val="0.42698430553323691"/>
        </c:manualLayout>
      </c:layout>
      <c:areaChart>
        <c:grouping val="standard"/>
        <c:varyColors val="0"/>
        <c:ser>
          <c:idx val="0"/>
          <c:order val="0"/>
          <c:tx>
            <c:strRef>
              <c:f>'Pivot Report'!$J$2</c:f>
              <c:strCache>
                <c:ptCount val="1"/>
                <c:pt idx="0">
                  <c:v>Total</c:v>
                </c:pt>
              </c:strCache>
            </c:strRef>
          </c:tx>
          <c:spPr>
            <a:solidFill>
              <a:schemeClr val="accent1"/>
            </a:solidFill>
            <a:ln w="25400">
              <a:noFill/>
            </a:ln>
            <a:effectLst/>
          </c:spPr>
          <c:cat>
            <c:strRef>
              <c:f>'Pivot Report'!$I$3:$I$33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Report'!$J$3:$J$33</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2-5A81-4157-8F51-032FE1B4B0FF}"/>
            </c:ext>
          </c:extLst>
        </c:ser>
        <c:dLbls>
          <c:showLegendKey val="0"/>
          <c:showVal val="0"/>
          <c:showCatName val="0"/>
          <c:showSerName val="0"/>
          <c:showPercent val="0"/>
          <c:showBubbleSize val="0"/>
        </c:dLbls>
        <c:axId val="627509055"/>
        <c:axId val="627503599"/>
      </c:areaChart>
      <c:catAx>
        <c:axId val="627509055"/>
        <c:scaling>
          <c:orientation val="minMax"/>
        </c:scaling>
        <c:delete val="1"/>
        <c:axPos val="b"/>
        <c:numFmt formatCode="General" sourceLinked="1"/>
        <c:majorTickMark val="out"/>
        <c:minorTickMark val="none"/>
        <c:tickLblPos val="nextTo"/>
        <c:crossAx val="627503599"/>
        <c:crosses val="autoZero"/>
        <c:auto val="1"/>
        <c:lblAlgn val="ctr"/>
        <c:lblOffset val="100"/>
        <c:noMultiLvlLbl val="0"/>
      </c:catAx>
      <c:valAx>
        <c:axId val="627503599"/>
        <c:scaling>
          <c:orientation val="minMax"/>
        </c:scaling>
        <c:delete val="1"/>
        <c:axPos val="l"/>
        <c:numFmt formatCode="0.00" sourceLinked="1"/>
        <c:majorTickMark val="none"/>
        <c:minorTickMark val="none"/>
        <c:tickLblPos val="nextTo"/>
        <c:crossAx val="6275090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 emergency room.xlsx]Pivot Report!age grou</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Report'!$A$48:$A$56</c:f>
              <c:strCache>
                <c:ptCount val="8"/>
                <c:pt idx="0">
                  <c:v>0-09</c:v>
                </c:pt>
                <c:pt idx="1">
                  <c:v>10-19</c:v>
                </c:pt>
                <c:pt idx="2">
                  <c:v>20-29</c:v>
                </c:pt>
                <c:pt idx="3">
                  <c:v>30-39</c:v>
                </c:pt>
                <c:pt idx="4">
                  <c:v>40-49</c:v>
                </c:pt>
                <c:pt idx="5">
                  <c:v>50-59</c:v>
                </c:pt>
                <c:pt idx="6">
                  <c:v>60-69</c:v>
                </c:pt>
                <c:pt idx="7">
                  <c:v>70-79</c:v>
                </c:pt>
              </c:strCache>
            </c:strRef>
          </c:cat>
          <c:val>
            <c:numRef>
              <c:f>'Pivot Report'!$B$48:$B$56</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2-14AB-49C2-A1A8-8204AC6C9967}"/>
            </c:ext>
          </c:extLst>
        </c:ser>
        <c:dLbls>
          <c:dLblPos val="outEnd"/>
          <c:showLegendKey val="0"/>
          <c:showVal val="1"/>
          <c:showCatName val="0"/>
          <c:showSerName val="0"/>
          <c:showPercent val="0"/>
          <c:showBubbleSize val="0"/>
        </c:dLbls>
        <c:gapWidth val="219"/>
        <c:overlap val="-27"/>
        <c:axId val="627492687"/>
        <c:axId val="627510047"/>
      </c:barChart>
      <c:catAx>
        <c:axId val="62749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510047"/>
        <c:crosses val="autoZero"/>
        <c:auto val="1"/>
        <c:lblAlgn val="ctr"/>
        <c:lblOffset val="100"/>
        <c:noMultiLvlLbl val="0"/>
      </c:catAx>
      <c:valAx>
        <c:axId val="627510047"/>
        <c:scaling>
          <c:orientation val="minMax"/>
        </c:scaling>
        <c:delete val="1"/>
        <c:axPos val="l"/>
        <c:numFmt formatCode="0" sourceLinked="1"/>
        <c:majorTickMark val="none"/>
        <c:minorTickMark val="none"/>
        <c:tickLblPos val="nextTo"/>
        <c:crossAx val="62749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 emergency room.xlsx]Pivot Report!attend status</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3391812865497075"/>
          <c:y val="0.18460139452265437"/>
          <c:w val="0.58288529723258276"/>
          <c:h val="0.67120125135873165"/>
        </c:manualLayout>
      </c:layout>
      <c:pieChart>
        <c:varyColors val="1"/>
        <c:ser>
          <c:idx val="0"/>
          <c:order val="0"/>
          <c:tx>
            <c:strRef>
              <c:f>'Pivot Report'!$E$47</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Report'!$D$48:$D$50</c:f>
              <c:strCache>
                <c:ptCount val="2"/>
                <c:pt idx="0">
                  <c:v>Delay</c:v>
                </c:pt>
                <c:pt idx="1">
                  <c:v>Ontime</c:v>
                </c:pt>
              </c:strCache>
            </c:strRef>
          </c:cat>
          <c:val>
            <c:numRef>
              <c:f>'Pivot Report'!$E$48:$E$50</c:f>
              <c:numCache>
                <c:formatCode>0.00</c:formatCode>
                <c:ptCount val="2"/>
                <c:pt idx="0">
                  <c:v>311</c:v>
                </c:pt>
                <c:pt idx="1">
                  <c:v>195</c:v>
                </c:pt>
              </c:numCache>
            </c:numRef>
          </c:val>
          <c:extLst>
            <c:ext xmlns:c16="http://schemas.microsoft.com/office/drawing/2014/chart" uri="{C3380CC4-5D6E-409C-BE32-E72D297353CC}">
              <c16:uniqueId val="{00000006-D4C8-4D1C-979B-6199FB491B7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 emergency room.xlsx]Pivot Report!Gender</c:name>
    <c:fmtId val="33"/>
  </c:pivotSource>
  <c:chart>
    <c:autoTitleDeleted val="1"/>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s>
    <c:plotArea>
      <c:layout>
        <c:manualLayout>
          <c:layoutTarget val="inner"/>
          <c:xMode val="edge"/>
          <c:yMode val="edge"/>
          <c:x val="0.18172319761748446"/>
          <c:y val="0.19824435558120679"/>
          <c:w val="0.6249092252790176"/>
          <c:h val="0.74923637163155654"/>
        </c:manualLayout>
      </c:layout>
      <c:doughnutChart>
        <c:varyColors val="1"/>
        <c:ser>
          <c:idx val="0"/>
          <c:order val="0"/>
          <c:tx>
            <c:strRef>
              <c:f>'Pivot Report'!$H$47</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dPt>
          <c:dPt>
            <c:idx val="1"/>
            <c:bubble3D val="0"/>
            <c:spPr>
              <a:solidFill>
                <a:schemeClr val="accent5"/>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Report'!$G$48:$G$50</c:f>
              <c:strCache>
                <c:ptCount val="2"/>
                <c:pt idx="0">
                  <c:v>Female</c:v>
                </c:pt>
                <c:pt idx="1">
                  <c:v>Male</c:v>
                </c:pt>
              </c:strCache>
            </c:strRef>
          </c:cat>
          <c:val>
            <c:numRef>
              <c:f>'Pivot Report'!$H$48:$H$50</c:f>
              <c:numCache>
                <c:formatCode>0.00</c:formatCode>
                <c:ptCount val="2"/>
                <c:pt idx="0">
                  <c:v>233</c:v>
                </c:pt>
                <c:pt idx="1">
                  <c:v>273</c:v>
                </c:pt>
              </c:numCache>
            </c:numRef>
          </c:val>
          <c:extLst>
            <c:ext xmlns:c16="http://schemas.microsoft.com/office/drawing/2014/chart" uri="{C3380CC4-5D6E-409C-BE32-E72D297353CC}">
              <c16:uniqueId val="{00000006-F980-40AA-A1EF-57E38E8D14D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 emergency room.xlsx]Pivot Report!deartment</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Report'!$E$55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Report'!$D$56:$D$64</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Report'!$E$56:$E$64</c:f>
              <c:numCache>
                <c:formatCode>0</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2-4DE3-4746-B7F0-6E9B30A5E795}"/>
            </c:ext>
          </c:extLst>
        </c:ser>
        <c:dLbls>
          <c:dLblPos val="outEnd"/>
          <c:showLegendKey val="0"/>
          <c:showVal val="1"/>
          <c:showCatName val="0"/>
          <c:showSerName val="0"/>
          <c:showPercent val="0"/>
          <c:showBubbleSize val="0"/>
        </c:dLbls>
        <c:gapWidth val="182"/>
        <c:axId val="812430671"/>
        <c:axId val="812432159"/>
      </c:barChart>
      <c:catAx>
        <c:axId val="812430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12432159"/>
        <c:crosses val="autoZero"/>
        <c:auto val="1"/>
        <c:lblAlgn val="ctr"/>
        <c:lblOffset val="100"/>
        <c:noMultiLvlLbl val="0"/>
      </c:catAx>
      <c:valAx>
        <c:axId val="812432159"/>
        <c:scaling>
          <c:orientation val="minMax"/>
        </c:scaling>
        <c:delete val="1"/>
        <c:axPos val="b"/>
        <c:numFmt formatCode="0" sourceLinked="1"/>
        <c:majorTickMark val="none"/>
        <c:minorTickMark val="none"/>
        <c:tickLblPos val="nextTo"/>
        <c:crossAx val="812430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 emergency room.xlsx]Pivot Report!avg satisfaction score</c:name>
    <c:fmtId val="2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10759483090066E-2"/>
          <c:y val="7.4829931972789115E-2"/>
          <c:w val="0.91647909457177745"/>
          <c:h val="0.72676985582281661"/>
        </c:manualLayout>
      </c:layout>
      <c:areaChart>
        <c:grouping val="standard"/>
        <c:varyColors val="0"/>
        <c:ser>
          <c:idx val="0"/>
          <c:order val="0"/>
          <c:tx>
            <c:strRef>
              <c:f>'Pivot Report'!$J$2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Report'!$I$3:$I$33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Report'!$J$3:$J$33</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2-2EDD-432D-8B9E-C50DC6A049A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27509055"/>
        <c:axId val="627503599"/>
      </c:areaChart>
      <c:catAx>
        <c:axId val="627509055"/>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27503599"/>
        <c:crosses val="autoZero"/>
        <c:auto val="1"/>
        <c:lblAlgn val="ctr"/>
        <c:lblOffset val="100"/>
        <c:noMultiLvlLbl val="0"/>
      </c:catAx>
      <c:valAx>
        <c:axId val="627503599"/>
        <c:scaling>
          <c:orientation val="minMax"/>
        </c:scaling>
        <c:delete val="1"/>
        <c:axPos val="l"/>
        <c:numFmt formatCode="0.00" sourceLinked="1"/>
        <c:majorTickMark val="out"/>
        <c:minorTickMark val="none"/>
        <c:tickLblPos val="nextTo"/>
        <c:crossAx val="6275090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 emergency room.xlsx]Pivot Report!Avg waittime dailty trend</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Report'!$G$2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Report'!$F$3:$F$33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Report'!$G$3:$G$33</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1-1F90-40F0-BCB5-A06E1889B1C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12450015"/>
        <c:axId val="812443071"/>
      </c:areaChart>
      <c:catAx>
        <c:axId val="812450015"/>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12443071"/>
        <c:crosses val="autoZero"/>
        <c:auto val="1"/>
        <c:lblAlgn val="ctr"/>
        <c:lblOffset val="100"/>
        <c:noMultiLvlLbl val="0"/>
      </c:catAx>
      <c:valAx>
        <c:axId val="812443071"/>
        <c:scaling>
          <c:orientation val="minMax"/>
        </c:scaling>
        <c:delete val="1"/>
        <c:axPos val="l"/>
        <c:numFmt formatCode="0.00" sourceLinked="1"/>
        <c:majorTickMark val="out"/>
        <c:minorTickMark val="none"/>
        <c:tickLblPos val="nextTo"/>
        <c:crossAx val="8124500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[Hosital emergency room.xlsx]Pivot Report!Daily Trends of no.of atients</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Report'!$C$3:$C$33</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Report'!$D$3:$D$33</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1-43F0-44F8-979A-41B5C20D9D5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12409343"/>
        <c:axId val="812409839"/>
      </c:areaChart>
      <c:catAx>
        <c:axId val="81240934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12409839"/>
        <c:crosses val="autoZero"/>
        <c:auto val="1"/>
        <c:lblAlgn val="ctr"/>
        <c:lblOffset val="100"/>
        <c:noMultiLvlLbl val="0"/>
      </c:catAx>
      <c:valAx>
        <c:axId val="812409839"/>
        <c:scaling>
          <c:orientation val="minMax"/>
        </c:scaling>
        <c:delete val="1"/>
        <c:axPos val="l"/>
        <c:numFmt formatCode="General" sourceLinked="1"/>
        <c:majorTickMark val="out"/>
        <c:minorTickMark val="none"/>
        <c:tickLblPos val="nextTo"/>
        <c:crossAx val="8124093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g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g wait time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19050</xdr:colOff>
      <xdr:row>40</xdr:row>
      <xdr:rowOff>171449</xdr:rowOff>
    </xdr:from>
    <xdr:to>
      <xdr:col>3</xdr:col>
      <xdr:colOff>1476375</xdr:colOff>
      <xdr:row>43</xdr:row>
      <xdr:rowOff>9524</xdr:rowOff>
    </xdr:to>
    <xdr:graphicFrame macro="">
      <xdr:nvGraphicFramePr>
        <xdr:cNvPr id="6" name="Chart 5">
          <a:extLst>
            <a:ext uri="{FF2B5EF4-FFF2-40B4-BE49-F238E27FC236}">
              <a16:creationId xmlns:a16="http://schemas.microsoft.com/office/drawing/2014/main" id="{1F435EB7-8E09-055A-F633-39B10EFAB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85725</xdr:colOff>
      <xdr:row>1</xdr:row>
      <xdr:rowOff>9526</xdr:rowOff>
    </xdr:from>
    <xdr:to>
      <xdr:col>7</xdr:col>
      <xdr:colOff>390525</xdr:colOff>
      <xdr:row>4</xdr:row>
      <xdr:rowOff>142876</xdr:rowOff>
    </xdr:to>
    <xdr:sp macro="" textlink="">
      <xdr:nvSpPr>
        <xdr:cNvPr id="2" name="Rectangle: Rounded Corners 1">
          <a:extLst>
            <a:ext uri="{FF2B5EF4-FFF2-40B4-BE49-F238E27FC236}">
              <a16:creationId xmlns:a16="http://schemas.microsoft.com/office/drawing/2014/main" id="{308E100B-2D0D-7180-B83C-FE22037F9165}"/>
            </a:ext>
          </a:extLst>
        </xdr:cNvPr>
        <xdr:cNvSpPr/>
      </xdr:nvSpPr>
      <xdr:spPr>
        <a:xfrm>
          <a:off x="85725" y="200026"/>
          <a:ext cx="4572000" cy="704850"/>
        </a:xfrm>
        <a:prstGeom prst="roundRect">
          <a:avLst>
            <a:gd name="adj" fmla="val 14110"/>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7</xdr:col>
      <xdr:colOff>504825</xdr:colOff>
      <xdr:row>1</xdr:row>
      <xdr:rowOff>0</xdr:rowOff>
    </xdr:from>
    <xdr:to>
      <xdr:col>11</xdr:col>
      <xdr:colOff>133349</xdr:colOff>
      <xdr:row>4</xdr:row>
      <xdr:rowOff>142875</xdr:rowOff>
    </xdr:to>
    <xdr:sp macro="" textlink="">
      <xdr:nvSpPr>
        <xdr:cNvPr id="5" name="Rectangle: Rounded Corners 4">
          <a:extLst>
            <a:ext uri="{FF2B5EF4-FFF2-40B4-BE49-F238E27FC236}">
              <a16:creationId xmlns:a16="http://schemas.microsoft.com/office/drawing/2014/main" id="{D4582A65-4EAD-164D-9376-A6C60CE42EFD}"/>
            </a:ext>
          </a:extLst>
        </xdr:cNvPr>
        <xdr:cNvSpPr/>
      </xdr:nvSpPr>
      <xdr:spPr>
        <a:xfrm>
          <a:off x="4772025" y="190500"/>
          <a:ext cx="2066924" cy="714375"/>
        </a:xfrm>
        <a:prstGeom prst="roundRect">
          <a:avLst>
            <a:gd name="adj" fmla="val 14308"/>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11</xdr:col>
      <xdr:colOff>219076</xdr:colOff>
      <xdr:row>1</xdr:row>
      <xdr:rowOff>0</xdr:rowOff>
    </xdr:from>
    <xdr:to>
      <xdr:col>15</xdr:col>
      <xdr:colOff>114300</xdr:colOff>
      <xdr:row>12</xdr:row>
      <xdr:rowOff>152400</xdr:rowOff>
    </xdr:to>
    <xdr:sp macro="" textlink="">
      <xdr:nvSpPr>
        <xdr:cNvPr id="6" name="Rectangle: Rounded Corners 5">
          <a:extLst>
            <a:ext uri="{FF2B5EF4-FFF2-40B4-BE49-F238E27FC236}">
              <a16:creationId xmlns:a16="http://schemas.microsoft.com/office/drawing/2014/main" id="{E815E43C-7D60-8346-5638-533636A2279E}"/>
            </a:ext>
          </a:extLst>
        </xdr:cNvPr>
        <xdr:cNvSpPr/>
      </xdr:nvSpPr>
      <xdr:spPr>
        <a:xfrm>
          <a:off x="6924676" y="190500"/>
          <a:ext cx="2333624" cy="2247900"/>
        </a:xfrm>
        <a:prstGeom prst="roundRect">
          <a:avLst>
            <a:gd name="adj" fmla="val 7555"/>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0</xdr:col>
      <xdr:colOff>66676</xdr:colOff>
      <xdr:row>5</xdr:row>
      <xdr:rowOff>38100</xdr:rowOff>
    </xdr:from>
    <xdr:to>
      <xdr:col>2</xdr:col>
      <xdr:colOff>9525</xdr:colOff>
      <xdr:row>25</xdr:row>
      <xdr:rowOff>9525</xdr:rowOff>
    </xdr:to>
    <xdr:sp macro="" textlink="">
      <xdr:nvSpPr>
        <xdr:cNvPr id="10" name="Rectangle: Rounded Corners 9">
          <a:extLst>
            <a:ext uri="{FF2B5EF4-FFF2-40B4-BE49-F238E27FC236}">
              <a16:creationId xmlns:a16="http://schemas.microsoft.com/office/drawing/2014/main" id="{27ECCEB7-419C-A7E3-8F08-2F2EE9E11A03}"/>
            </a:ext>
          </a:extLst>
        </xdr:cNvPr>
        <xdr:cNvSpPr/>
      </xdr:nvSpPr>
      <xdr:spPr>
        <a:xfrm>
          <a:off x="66676" y="990600"/>
          <a:ext cx="1162049" cy="3781425"/>
        </a:xfrm>
        <a:prstGeom prst="roundRect">
          <a:avLst>
            <a:gd name="adj" fmla="val 12582"/>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2</xdr:col>
      <xdr:colOff>57150</xdr:colOff>
      <xdr:row>5</xdr:row>
      <xdr:rowOff>28575</xdr:rowOff>
    </xdr:from>
    <xdr:to>
      <xdr:col>5</xdr:col>
      <xdr:colOff>38101</xdr:colOff>
      <xdr:row>12</xdr:row>
      <xdr:rowOff>161925</xdr:rowOff>
    </xdr:to>
    <xdr:sp macro="" textlink="">
      <xdr:nvSpPr>
        <xdr:cNvPr id="11" name="Rectangle: Rounded Corners 10">
          <a:extLst>
            <a:ext uri="{FF2B5EF4-FFF2-40B4-BE49-F238E27FC236}">
              <a16:creationId xmlns:a16="http://schemas.microsoft.com/office/drawing/2014/main" id="{7737B073-7013-CC08-6FD9-E20319D39B48}"/>
            </a:ext>
          </a:extLst>
        </xdr:cNvPr>
        <xdr:cNvSpPr/>
      </xdr:nvSpPr>
      <xdr:spPr>
        <a:xfrm>
          <a:off x="1276350" y="981075"/>
          <a:ext cx="1809751" cy="1466850"/>
        </a:xfrm>
        <a:prstGeom prst="roundRect">
          <a:avLst>
            <a:gd name="adj" fmla="val 8239"/>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editAs="absolute">
    <xdr:from>
      <xdr:col>2</xdr:col>
      <xdr:colOff>76200</xdr:colOff>
      <xdr:row>13</xdr:row>
      <xdr:rowOff>28575</xdr:rowOff>
    </xdr:from>
    <xdr:to>
      <xdr:col>11</xdr:col>
      <xdr:colOff>152401</xdr:colOff>
      <xdr:row>15</xdr:row>
      <xdr:rowOff>133350</xdr:rowOff>
    </xdr:to>
    <xdr:sp macro="" textlink="">
      <xdr:nvSpPr>
        <xdr:cNvPr id="16" name="Rectangle: Rounded Corners 15">
          <a:extLst>
            <a:ext uri="{FF2B5EF4-FFF2-40B4-BE49-F238E27FC236}">
              <a16:creationId xmlns:a16="http://schemas.microsoft.com/office/drawing/2014/main" id="{A053E5B4-5538-697F-FCDC-A48FB25C61D6}"/>
            </a:ext>
          </a:extLst>
        </xdr:cNvPr>
        <xdr:cNvSpPr/>
      </xdr:nvSpPr>
      <xdr:spPr>
        <a:xfrm>
          <a:off x="1295400" y="2505075"/>
          <a:ext cx="5562601" cy="485775"/>
        </a:xfrm>
        <a:prstGeom prst="roundRect">
          <a:avLst>
            <a:gd name="adj" fmla="val 14706"/>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editAs="absolute">
    <xdr:from>
      <xdr:col>2</xdr:col>
      <xdr:colOff>76200</xdr:colOff>
      <xdr:row>16</xdr:row>
      <xdr:rowOff>19049</xdr:rowOff>
    </xdr:from>
    <xdr:to>
      <xdr:col>11</xdr:col>
      <xdr:colOff>171449</xdr:colOff>
      <xdr:row>24</xdr:row>
      <xdr:rowOff>180974</xdr:rowOff>
    </xdr:to>
    <xdr:sp macro="" textlink="">
      <xdr:nvSpPr>
        <xdr:cNvPr id="17" name="Rectangle: Rounded Corners 16">
          <a:extLst>
            <a:ext uri="{FF2B5EF4-FFF2-40B4-BE49-F238E27FC236}">
              <a16:creationId xmlns:a16="http://schemas.microsoft.com/office/drawing/2014/main" id="{037FD528-FD19-DC40-F302-0F4BB3BE86C1}"/>
            </a:ext>
          </a:extLst>
        </xdr:cNvPr>
        <xdr:cNvSpPr/>
      </xdr:nvSpPr>
      <xdr:spPr>
        <a:xfrm>
          <a:off x="1295400" y="3067049"/>
          <a:ext cx="5581649" cy="1685925"/>
        </a:xfrm>
        <a:prstGeom prst="roundRect">
          <a:avLst>
            <a:gd name="adj" fmla="val 7045"/>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11</xdr:col>
      <xdr:colOff>219075</xdr:colOff>
      <xdr:row>13</xdr:row>
      <xdr:rowOff>28576</xdr:rowOff>
    </xdr:from>
    <xdr:to>
      <xdr:col>19</xdr:col>
      <xdr:colOff>257175</xdr:colOff>
      <xdr:row>24</xdr:row>
      <xdr:rowOff>161926</xdr:rowOff>
    </xdr:to>
    <xdr:sp macro="" textlink="">
      <xdr:nvSpPr>
        <xdr:cNvPr id="18" name="Rectangle: Rounded Corners 17">
          <a:extLst>
            <a:ext uri="{FF2B5EF4-FFF2-40B4-BE49-F238E27FC236}">
              <a16:creationId xmlns:a16="http://schemas.microsoft.com/office/drawing/2014/main" id="{C2A76621-5560-13F2-B373-2764E5F593E9}"/>
            </a:ext>
          </a:extLst>
        </xdr:cNvPr>
        <xdr:cNvSpPr/>
      </xdr:nvSpPr>
      <xdr:spPr>
        <a:xfrm>
          <a:off x="6924675" y="2505076"/>
          <a:ext cx="4914900" cy="2228850"/>
        </a:xfrm>
        <a:prstGeom prst="roundRect">
          <a:avLst>
            <a:gd name="adj" fmla="val 5854"/>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5</xdr:col>
      <xdr:colOff>142876</xdr:colOff>
      <xdr:row>5</xdr:row>
      <xdr:rowOff>28575</xdr:rowOff>
    </xdr:from>
    <xdr:to>
      <xdr:col>8</xdr:col>
      <xdr:colOff>85726</xdr:colOff>
      <xdr:row>12</xdr:row>
      <xdr:rowOff>161925</xdr:rowOff>
    </xdr:to>
    <xdr:sp macro="" textlink="">
      <xdr:nvSpPr>
        <xdr:cNvPr id="19" name="Rectangle: Rounded Corners 18">
          <a:extLst>
            <a:ext uri="{FF2B5EF4-FFF2-40B4-BE49-F238E27FC236}">
              <a16:creationId xmlns:a16="http://schemas.microsoft.com/office/drawing/2014/main" id="{336E2947-3E51-B16C-3BB3-7E0545825F29}"/>
            </a:ext>
          </a:extLst>
        </xdr:cNvPr>
        <xdr:cNvSpPr/>
      </xdr:nvSpPr>
      <xdr:spPr>
        <a:xfrm>
          <a:off x="3190876" y="981075"/>
          <a:ext cx="1771650" cy="1466850"/>
        </a:xfrm>
        <a:prstGeom prst="roundRect">
          <a:avLst>
            <a:gd name="adj" fmla="val 6291"/>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editAs="absolute">
    <xdr:from>
      <xdr:col>8</xdr:col>
      <xdr:colOff>171450</xdr:colOff>
      <xdr:row>5</xdr:row>
      <xdr:rowOff>28575</xdr:rowOff>
    </xdr:from>
    <xdr:to>
      <xdr:col>11</xdr:col>
      <xdr:colOff>133349</xdr:colOff>
      <xdr:row>12</xdr:row>
      <xdr:rowOff>161925</xdr:rowOff>
    </xdr:to>
    <xdr:sp macro="" textlink="">
      <xdr:nvSpPr>
        <xdr:cNvPr id="20" name="Rectangle: Rounded Corners 19">
          <a:extLst>
            <a:ext uri="{FF2B5EF4-FFF2-40B4-BE49-F238E27FC236}">
              <a16:creationId xmlns:a16="http://schemas.microsoft.com/office/drawing/2014/main" id="{34FF344E-5883-AC9F-AF98-BFE854A7B583}"/>
            </a:ext>
          </a:extLst>
        </xdr:cNvPr>
        <xdr:cNvSpPr/>
      </xdr:nvSpPr>
      <xdr:spPr>
        <a:xfrm>
          <a:off x="5048250" y="981075"/>
          <a:ext cx="1790699" cy="1466850"/>
        </a:xfrm>
        <a:prstGeom prst="roundRect">
          <a:avLst>
            <a:gd name="adj" fmla="val 43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editAs="absolute">
    <xdr:from>
      <xdr:col>15</xdr:col>
      <xdr:colOff>209551</xdr:colOff>
      <xdr:row>0</xdr:row>
      <xdr:rowOff>180976</xdr:rowOff>
    </xdr:from>
    <xdr:to>
      <xdr:col>19</xdr:col>
      <xdr:colOff>219075</xdr:colOff>
      <xdr:row>12</xdr:row>
      <xdr:rowOff>152400</xdr:rowOff>
    </xdr:to>
    <xdr:sp macro="" textlink="">
      <xdr:nvSpPr>
        <xdr:cNvPr id="21" name="Rectangle: Rounded Corners 20">
          <a:extLst>
            <a:ext uri="{FF2B5EF4-FFF2-40B4-BE49-F238E27FC236}">
              <a16:creationId xmlns:a16="http://schemas.microsoft.com/office/drawing/2014/main" id="{4056CCE5-E097-0BD0-DDC6-75CE6BDEC673}"/>
            </a:ext>
          </a:extLst>
        </xdr:cNvPr>
        <xdr:cNvSpPr/>
      </xdr:nvSpPr>
      <xdr:spPr>
        <a:xfrm>
          <a:off x="9353551" y="180976"/>
          <a:ext cx="2447924" cy="2257424"/>
        </a:xfrm>
        <a:prstGeom prst="roundRect">
          <a:avLst>
            <a:gd name="adj" fmla="val 885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1</xdr:col>
      <xdr:colOff>323850</xdr:colOff>
      <xdr:row>1</xdr:row>
      <xdr:rowOff>38100</xdr:rowOff>
    </xdr:from>
    <xdr:to>
      <xdr:col>6</xdr:col>
      <xdr:colOff>409575</xdr:colOff>
      <xdr:row>2</xdr:row>
      <xdr:rowOff>171450</xdr:rowOff>
    </xdr:to>
    <xdr:sp macro="" textlink="">
      <xdr:nvSpPr>
        <xdr:cNvPr id="66" name="TextBox 65">
          <a:extLst>
            <a:ext uri="{FF2B5EF4-FFF2-40B4-BE49-F238E27FC236}">
              <a16:creationId xmlns:a16="http://schemas.microsoft.com/office/drawing/2014/main" id="{302BBFFF-DD5A-1361-A199-E48249C29352}"/>
            </a:ext>
          </a:extLst>
        </xdr:cNvPr>
        <xdr:cNvSpPr txBox="1"/>
      </xdr:nvSpPr>
      <xdr:spPr>
        <a:xfrm>
          <a:off x="933450" y="228600"/>
          <a:ext cx="31337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kern="1200">
              <a:solidFill>
                <a:srgbClr val="7030A0"/>
              </a:solidFill>
            </a:rPr>
            <a:t>Hospital Emergency</a:t>
          </a:r>
          <a:r>
            <a:rPr lang="en-US" sz="1400" kern="1200" baseline="0">
              <a:solidFill>
                <a:srgbClr val="7030A0"/>
              </a:solidFill>
            </a:rPr>
            <a:t> Room Dashboard</a:t>
          </a:r>
          <a:endParaRPr lang="en-US" sz="1400" kern="1200">
            <a:solidFill>
              <a:srgbClr val="7030A0"/>
            </a:solidFill>
          </a:endParaRPr>
        </a:p>
      </xdr:txBody>
    </xdr:sp>
    <xdr:clientData/>
  </xdr:twoCellAnchor>
  <xdr:twoCellAnchor editAs="oneCell">
    <xdr:from>
      <xdr:col>0</xdr:col>
      <xdr:colOff>323849</xdr:colOff>
      <xdr:row>1</xdr:row>
      <xdr:rowOff>85725</xdr:rowOff>
    </xdr:from>
    <xdr:to>
      <xdr:col>1</xdr:col>
      <xdr:colOff>378382</xdr:colOff>
      <xdr:row>4</xdr:row>
      <xdr:rowOff>57150</xdr:rowOff>
    </xdr:to>
    <xdr:pic>
      <xdr:nvPicPr>
        <xdr:cNvPr id="68" name="Picture 67">
          <a:extLst>
            <a:ext uri="{FF2B5EF4-FFF2-40B4-BE49-F238E27FC236}">
              <a16:creationId xmlns:a16="http://schemas.microsoft.com/office/drawing/2014/main" id="{AAD29CC4-ADEA-FD5D-2AE8-E27F29B2A0B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5382" r="3830" b="10937"/>
        <a:stretch/>
      </xdr:blipFill>
      <xdr:spPr>
        <a:xfrm>
          <a:off x="323849" y="276225"/>
          <a:ext cx="664133" cy="542925"/>
        </a:xfrm>
        <a:prstGeom prst="rect">
          <a:avLst/>
        </a:prstGeom>
      </xdr:spPr>
    </xdr:pic>
    <xdr:clientData/>
  </xdr:twoCellAnchor>
  <xdr:twoCellAnchor editAs="absolute">
    <xdr:from>
      <xdr:col>2</xdr:col>
      <xdr:colOff>47625</xdr:colOff>
      <xdr:row>4</xdr:row>
      <xdr:rowOff>180975</xdr:rowOff>
    </xdr:from>
    <xdr:to>
      <xdr:col>5</xdr:col>
      <xdr:colOff>19050</xdr:colOff>
      <xdr:row>7</xdr:row>
      <xdr:rowOff>28575</xdr:rowOff>
    </xdr:to>
    <xdr:sp macro="" textlink="'Pivot Report'!A3">
      <xdr:nvSpPr>
        <xdr:cNvPr id="69" name="TextBox 68">
          <a:extLst>
            <a:ext uri="{FF2B5EF4-FFF2-40B4-BE49-F238E27FC236}">
              <a16:creationId xmlns:a16="http://schemas.microsoft.com/office/drawing/2014/main" id="{E34CA4DE-CAED-DD70-55E4-ACE155FC60B2}"/>
            </a:ext>
          </a:extLst>
        </xdr:cNvPr>
        <xdr:cNvSpPr txBox="1"/>
      </xdr:nvSpPr>
      <xdr:spPr>
        <a:xfrm>
          <a:off x="1266825" y="942975"/>
          <a:ext cx="18002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C48A8A3-E415-471C-A37F-250A7F035C78}" type="TxLink">
            <a:rPr lang="en-US" sz="1600" b="0" i="0" u="none" strike="noStrike" kern="1200">
              <a:solidFill>
                <a:srgbClr val="7030A0"/>
              </a:solidFill>
              <a:latin typeface="Calibri"/>
              <a:cs typeface="Calibri"/>
            </a:rPr>
            <a:pPr algn="ctr"/>
            <a:t>506</a:t>
          </a:fld>
          <a:endParaRPr lang="en-US" sz="2000" kern="1200">
            <a:solidFill>
              <a:srgbClr val="7030A0"/>
            </a:solidFill>
          </a:endParaRPr>
        </a:p>
      </xdr:txBody>
    </xdr:sp>
    <xdr:clientData/>
  </xdr:twoCellAnchor>
  <xdr:twoCellAnchor editAs="absolute">
    <xdr:from>
      <xdr:col>2</xdr:col>
      <xdr:colOff>76200</xdr:colOff>
      <xdr:row>6</xdr:row>
      <xdr:rowOff>104775</xdr:rowOff>
    </xdr:from>
    <xdr:to>
      <xdr:col>5</xdr:col>
      <xdr:colOff>47625</xdr:colOff>
      <xdr:row>8</xdr:row>
      <xdr:rowOff>142875</xdr:rowOff>
    </xdr:to>
    <xdr:sp macro="" textlink="">
      <xdr:nvSpPr>
        <xdr:cNvPr id="70" name="TextBox 69">
          <a:extLst>
            <a:ext uri="{FF2B5EF4-FFF2-40B4-BE49-F238E27FC236}">
              <a16:creationId xmlns:a16="http://schemas.microsoft.com/office/drawing/2014/main" id="{1383EB58-325B-FF67-1C70-AA13E353C9D2}"/>
            </a:ext>
          </a:extLst>
        </xdr:cNvPr>
        <xdr:cNvSpPr txBox="1"/>
      </xdr:nvSpPr>
      <xdr:spPr>
        <a:xfrm>
          <a:off x="1295400" y="1247775"/>
          <a:ext cx="18002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kern="1200">
              <a:solidFill>
                <a:srgbClr val="7030A0"/>
              </a:solidFill>
            </a:rPr>
            <a:t>No.of Patient</a:t>
          </a:r>
        </a:p>
      </xdr:txBody>
    </xdr:sp>
    <xdr:clientData/>
  </xdr:twoCellAnchor>
  <xdr:twoCellAnchor editAs="absolute">
    <xdr:from>
      <xdr:col>2</xdr:col>
      <xdr:colOff>285750</xdr:colOff>
      <xdr:row>2</xdr:row>
      <xdr:rowOff>28575</xdr:rowOff>
    </xdr:from>
    <xdr:to>
      <xdr:col>5</xdr:col>
      <xdr:colOff>257175</xdr:colOff>
      <xdr:row>4</xdr:row>
      <xdr:rowOff>66675</xdr:rowOff>
    </xdr:to>
    <xdr:sp macro="" textlink="">
      <xdr:nvSpPr>
        <xdr:cNvPr id="71" name="TextBox 70">
          <a:extLst>
            <a:ext uri="{FF2B5EF4-FFF2-40B4-BE49-F238E27FC236}">
              <a16:creationId xmlns:a16="http://schemas.microsoft.com/office/drawing/2014/main" id="{EF41087D-97DA-AD72-F034-5E5AC2479577}"/>
            </a:ext>
          </a:extLst>
        </xdr:cNvPr>
        <xdr:cNvSpPr txBox="1"/>
      </xdr:nvSpPr>
      <xdr:spPr>
        <a:xfrm>
          <a:off x="1504950" y="409575"/>
          <a:ext cx="18002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kern="1200">
              <a:solidFill>
                <a:srgbClr val="7030A0"/>
              </a:solidFill>
            </a:rPr>
            <a:t>Monthly</a:t>
          </a:r>
          <a:r>
            <a:rPr lang="en-US" sz="1400" kern="1200" baseline="0">
              <a:solidFill>
                <a:srgbClr val="7030A0"/>
              </a:solidFill>
            </a:rPr>
            <a:t> Report</a:t>
          </a:r>
          <a:endParaRPr lang="en-US" sz="1400" kern="1200">
            <a:solidFill>
              <a:srgbClr val="7030A0"/>
            </a:solidFill>
          </a:endParaRPr>
        </a:p>
      </xdr:txBody>
    </xdr:sp>
    <xdr:clientData/>
  </xdr:twoCellAnchor>
  <xdr:twoCellAnchor editAs="absolute">
    <xdr:from>
      <xdr:col>5</xdr:col>
      <xdr:colOff>142875</xdr:colOff>
      <xdr:row>5</xdr:row>
      <xdr:rowOff>28575</xdr:rowOff>
    </xdr:from>
    <xdr:to>
      <xdr:col>8</xdr:col>
      <xdr:colOff>104775</xdr:colOff>
      <xdr:row>7</xdr:row>
      <xdr:rowOff>47625</xdr:rowOff>
    </xdr:to>
    <xdr:sp macro="" textlink="'Pivot Report'!A7">
      <xdr:nvSpPr>
        <xdr:cNvPr id="72" name="TextBox 71">
          <a:extLst>
            <a:ext uri="{FF2B5EF4-FFF2-40B4-BE49-F238E27FC236}">
              <a16:creationId xmlns:a16="http://schemas.microsoft.com/office/drawing/2014/main" id="{5FADCB2D-3AD5-1600-62F5-5FCDA5F693AA}"/>
            </a:ext>
          </a:extLst>
        </xdr:cNvPr>
        <xdr:cNvSpPr txBox="1"/>
      </xdr:nvSpPr>
      <xdr:spPr>
        <a:xfrm>
          <a:off x="3190875" y="981075"/>
          <a:ext cx="17907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6CD59D0-3DDF-4EC6-B08F-4254D464771C}" type="TxLink">
            <a:rPr lang="en-US" sz="1600" b="0" i="0" u="none" strike="noStrike" kern="1200">
              <a:solidFill>
                <a:srgbClr val="7030A0"/>
              </a:solidFill>
              <a:latin typeface="Calibri"/>
              <a:cs typeface="Calibri"/>
            </a:rPr>
            <a:pPr algn="ctr"/>
            <a:t>35.58</a:t>
          </a:fld>
          <a:endParaRPr lang="en-US" sz="3200" kern="1200">
            <a:solidFill>
              <a:srgbClr val="7030A0"/>
            </a:solidFill>
          </a:endParaRPr>
        </a:p>
      </xdr:txBody>
    </xdr:sp>
    <xdr:clientData/>
  </xdr:twoCellAnchor>
  <xdr:twoCellAnchor editAs="absolute">
    <xdr:from>
      <xdr:col>5</xdr:col>
      <xdr:colOff>104775</xdr:colOff>
      <xdr:row>6</xdr:row>
      <xdr:rowOff>123825</xdr:rowOff>
    </xdr:from>
    <xdr:to>
      <xdr:col>8</xdr:col>
      <xdr:colOff>76200</xdr:colOff>
      <xdr:row>8</xdr:row>
      <xdr:rowOff>161925</xdr:rowOff>
    </xdr:to>
    <xdr:sp macro="" textlink="">
      <xdr:nvSpPr>
        <xdr:cNvPr id="73" name="TextBox 72">
          <a:extLst>
            <a:ext uri="{FF2B5EF4-FFF2-40B4-BE49-F238E27FC236}">
              <a16:creationId xmlns:a16="http://schemas.microsoft.com/office/drawing/2014/main" id="{CE122B56-B568-5CD3-434F-3C10F25C7E6F}"/>
            </a:ext>
          </a:extLst>
        </xdr:cNvPr>
        <xdr:cNvSpPr txBox="1"/>
      </xdr:nvSpPr>
      <xdr:spPr>
        <a:xfrm>
          <a:off x="3152775" y="1266825"/>
          <a:ext cx="18002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kern="1200">
              <a:solidFill>
                <a:srgbClr val="7030A0"/>
              </a:solidFill>
            </a:rPr>
            <a:t>Averae</a:t>
          </a:r>
          <a:r>
            <a:rPr lang="en-US" sz="1400" kern="1200" baseline="0">
              <a:solidFill>
                <a:srgbClr val="7030A0"/>
              </a:solidFill>
            </a:rPr>
            <a:t> Wait Time</a:t>
          </a:r>
          <a:endParaRPr lang="en-US" sz="1400" kern="1200">
            <a:solidFill>
              <a:srgbClr val="7030A0"/>
            </a:solidFill>
          </a:endParaRPr>
        </a:p>
      </xdr:txBody>
    </xdr:sp>
    <xdr:clientData/>
  </xdr:twoCellAnchor>
  <xdr:twoCellAnchor editAs="absolute">
    <xdr:from>
      <xdr:col>8</xdr:col>
      <xdr:colOff>95250</xdr:colOff>
      <xdr:row>5</xdr:row>
      <xdr:rowOff>19050</xdr:rowOff>
    </xdr:from>
    <xdr:to>
      <xdr:col>11</xdr:col>
      <xdr:colOff>66675</xdr:colOff>
      <xdr:row>7</xdr:row>
      <xdr:rowOff>57150</xdr:rowOff>
    </xdr:to>
    <xdr:sp macro="" textlink="'Pivot Report'!A11">
      <xdr:nvSpPr>
        <xdr:cNvPr id="74" name="TextBox 73">
          <a:extLst>
            <a:ext uri="{FF2B5EF4-FFF2-40B4-BE49-F238E27FC236}">
              <a16:creationId xmlns:a16="http://schemas.microsoft.com/office/drawing/2014/main" id="{59C4D86B-015E-9FF4-8E65-AEAEAD31385E}"/>
            </a:ext>
          </a:extLst>
        </xdr:cNvPr>
        <xdr:cNvSpPr txBox="1"/>
      </xdr:nvSpPr>
      <xdr:spPr>
        <a:xfrm>
          <a:off x="4972050" y="971550"/>
          <a:ext cx="18002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83D3744-FB7F-4411-9CA3-60BF8D81FA88}" type="TxLink">
            <a:rPr lang="en-US" sz="1600" b="0" i="0" u="none" strike="noStrike" kern="1200">
              <a:solidFill>
                <a:srgbClr val="7030A0"/>
              </a:solidFill>
              <a:latin typeface="Calibri"/>
              <a:cs typeface="Calibri"/>
            </a:rPr>
            <a:pPr algn="ctr"/>
            <a:t>5.18</a:t>
          </a:fld>
          <a:endParaRPr lang="en-US" sz="3200" kern="1200">
            <a:solidFill>
              <a:srgbClr val="7030A0"/>
            </a:solidFill>
          </a:endParaRPr>
        </a:p>
      </xdr:txBody>
    </xdr:sp>
    <xdr:clientData/>
  </xdr:twoCellAnchor>
  <xdr:twoCellAnchor editAs="absolute">
    <xdr:from>
      <xdr:col>8</xdr:col>
      <xdr:colOff>95250</xdr:colOff>
      <xdr:row>6</xdr:row>
      <xdr:rowOff>142875</xdr:rowOff>
    </xdr:from>
    <xdr:to>
      <xdr:col>11</xdr:col>
      <xdr:colOff>123826</xdr:colOff>
      <xdr:row>8</xdr:row>
      <xdr:rowOff>161925</xdr:rowOff>
    </xdr:to>
    <xdr:sp macro="" textlink="">
      <xdr:nvSpPr>
        <xdr:cNvPr id="75" name="TextBox 74">
          <a:extLst>
            <a:ext uri="{FF2B5EF4-FFF2-40B4-BE49-F238E27FC236}">
              <a16:creationId xmlns:a16="http://schemas.microsoft.com/office/drawing/2014/main" id="{2856E254-E95D-4E78-B11C-4D855FABBDF1}"/>
            </a:ext>
          </a:extLst>
        </xdr:cNvPr>
        <xdr:cNvSpPr txBox="1"/>
      </xdr:nvSpPr>
      <xdr:spPr>
        <a:xfrm>
          <a:off x="4972050" y="1285875"/>
          <a:ext cx="185737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300" kern="1200">
              <a:solidFill>
                <a:srgbClr val="7030A0"/>
              </a:solidFill>
            </a:rPr>
            <a:t>Patient Satisfaction</a:t>
          </a:r>
          <a:r>
            <a:rPr lang="en-US" sz="1300" kern="1200" baseline="0">
              <a:solidFill>
                <a:srgbClr val="7030A0"/>
              </a:solidFill>
            </a:rPr>
            <a:t> Score</a:t>
          </a:r>
          <a:endParaRPr lang="en-US" sz="1300" kern="1200">
            <a:solidFill>
              <a:srgbClr val="7030A0"/>
            </a:solidFill>
          </a:endParaRPr>
        </a:p>
      </xdr:txBody>
    </xdr:sp>
    <xdr:clientData/>
  </xdr:twoCellAnchor>
  <xdr:twoCellAnchor editAs="oneCell">
    <xdr:from>
      <xdr:col>2</xdr:col>
      <xdr:colOff>19049</xdr:colOff>
      <xdr:row>4</xdr:row>
      <xdr:rowOff>190499</xdr:rowOff>
    </xdr:from>
    <xdr:to>
      <xdr:col>2</xdr:col>
      <xdr:colOff>381000</xdr:colOff>
      <xdr:row>6</xdr:row>
      <xdr:rowOff>171450</xdr:rowOff>
    </xdr:to>
    <xdr:pic>
      <xdr:nvPicPr>
        <xdr:cNvPr id="77" name="Graphic 76" descr="User with solid fill">
          <a:extLst>
            <a:ext uri="{FF2B5EF4-FFF2-40B4-BE49-F238E27FC236}">
              <a16:creationId xmlns:a16="http://schemas.microsoft.com/office/drawing/2014/main" id="{371F6DD2-EC3F-02F5-896B-290551CC422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38249" y="952499"/>
          <a:ext cx="361951" cy="361951"/>
        </a:xfrm>
        <a:prstGeom prst="rect">
          <a:avLst/>
        </a:prstGeom>
      </xdr:spPr>
    </xdr:pic>
    <xdr:clientData/>
  </xdr:twoCellAnchor>
  <xdr:twoCellAnchor editAs="oneCell">
    <xdr:from>
      <xdr:col>5</xdr:col>
      <xdr:colOff>85723</xdr:colOff>
      <xdr:row>5</xdr:row>
      <xdr:rowOff>9525</xdr:rowOff>
    </xdr:from>
    <xdr:to>
      <xdr:col>5</xdr:col>
      <xdr:colOff>552449</xdr:colOff>
      <xdr:row>7</xdr:row>
      <xdr:rowOff>0</xdr:rowOff>
    </xdr:to>
    <xdr:pic>
      <xdr:nvPicPr>
        <xdr:cNvPr id="79" name="Graphic 78" descr="Stopwatch with solid fill">
          <a:extLst>
            <a:ext uri="{FF2B5EF4-FFF2-40B4-BE49-F238E27FC236}">
              <a16:creationId xmlns:a16="http://schemas.microsoft.com/office/drawing/2014/main" id="{4028B208-7E3E-A743-C617-62FE8E3509D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3133723" y="962025"/>
          <a:ext cx="466726" cy="371475"/>
        </a:xfrm>
        <a:prstGeom prst="rect">
          <a:avLst/>
        </a:prstGeom>
      </xdr:spPr>
    </xdr:pic>
    <xdr:clientData/>
  </xdr:twoCellAnchor>
  <xdr:twoCellAnchor editAs="oneCell">
    <xdr:from>
      <xdr:col>8</xdr:col>
      <xdr:colOff>161924</xdr:colOff>
      <xdr:row>5</xdr:row>
      <xdr:rowOff>28575</xdr:rowOff>
    </xdr:from>
    <xdr:to>
      <xdr:col>8</xdr:col>
      <xdr:colOff>533400</xdr:colOff>
      <xdr:row>7</xdr:row>
      <xdr:rowOff>19051</xdr:rowOff>
    </xdr:to>
    <xdr:pic>
      <xdr:nvPicPr>
        <xdr:cNvPr id="81" name="Graphic 80" descr="Customer review with solid fill">
          <a:extLst>
            <a:ext uri="{FF2B5EF4-FFF2-40B4-BE49-F238E27FC236}">
              <a16:creationId xmlns:a16="http://schemas.microsoft.com/office/drawing/2014/main" id="{7A38451F-80FA-5025-3BC2-44B2BC339FC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038724" y="981075"/>
          <a:ext cx="371476" cy="371476"/>
        </a:xfrm>
        <a:prstGeom prst="rect">
          <a:avLst/>
        </a:prstGeom>
      </xdr:spPr>
    </xdr:pic>
    <xdr:clientData/>
  </xdr:twoCellAnchor>
  <xdr:twoCellAnchor>
    <xdr:from>
      <xdr:col>1</xdr:col>
      <xdr:colOff>504825</xdr:colOff>
      <xdr:row>7</xdr:row>
      <xdr:rowOff>9524</xdr:rowOff>
    </xdr:from>
    <xdr:to>
      <xdr:col>5</xdr:col>
      <xdr:colOff>180975</xdr:colOff>
      <xdr:row>13</xdr:row>
      <xdr:rowOff>114299</xdr:rowOff>
    </xdr:to>
    <xdr:graphicFrame macro="">
      <xdr:nvGraphicFramePr>
        <xdr:cNvPr id="84" name="Chart 83">
          <a:hlinkClick xmlns:r="http://schemas.openxmlformats.org/officeDocument/2006/relationships" r:id="rId8"/>
          <a:extLst>
            <a:ext uri="{FF2B5EF4-FFF2-40B4-BE49-F238E27FC236}">
              <a16:creationId xmlns:a16="http://schemas.microsoft.com/office/drawing/2014/main" id="{27943CB7-588C-31D0-2720-EB72B4951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600075</xdr:colOff>
      <xdr:row>9</xdr:row>
      <xdr:rowOff>0</xdr:rowOff>
    </xdr:from>
    <xdr:to>
      <xdr:col>8</xdr:col>
      <xdr:colOff>257175</xdr:colOff>
      <xdr:row>13</xdr:row>
      <xdr:rowOff>114299</xdr:rowOff>
    </xdr:to>
    <xdr:graphicFrame macro="">
      <xdr:nvGraphicFramePr>
        <xdr:cNvPr id="85" name="Chart 84">
          <a:hlinkClick xmlns:r="http://schemas.openxmlformats.org/officeDocument/2006/relationships" r:id="rId10"/>
          <a:extLst>
            <a:ext uri="{FF2B5EF4-FFF2-40B4-BE49-F238E27FC236}">
              <a16:creationId xmlns:a16="http://schemas.microsoft.com/office/drawing/2014/main" id="{739BC6ED-07AE-431A-BD83-FBC0D2B61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161925</xdr:colOff>
      <xdr:row>4</xdr:row>
      <xdr:rowOff>114300</xdr:rowOff>
    </xdr:from>
    <xdr:to>
      <xdr:col>11</xdr:col>
      <xdr:colOff>200025</xdr:colOff>
      <xdr:row>14</xdr:row>
      <xdr:rowOff>76200</xdr:rowOff>
    </xdr:to>
    <xdr:graphicFrame macro="">
      <xdr:nvGraphicFramePr>
        <xdr:cNvPr id="86" name="Chart 85">
          <a:hlinkClick xmlns:r="http://schemas.openxmlformats.org/officeDocument/2006/relationships" r:id="rId12"/>
          <a:extLst>
            <a:ext uri="{FF2B5EF4-FFF2-40B4-BE49-F238E27FC236}">
              <a16:creationId xmlns:a16="http://schemas.microsoft.com/office/drawing/2014/main" id="{DCA57C30-2CFE-4022-AEB4-584C0402B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123825</xdr:colOff>
          <xdr:row>13</xdr:row>
          <xdr:rowOff>38100</xdr:rowOff>
        </xdr:from>
        <xdr:to>
          <xdr:col>11</xdr:col>
          <xdr:colOff>123825</xdr:colOff>
          <xdr:row>15</xdr:row>
          <xdr:rowOff>104775</xdr:rowOff>
        </xdr:to>
        <xdr:pic>
          <xdr:nvPicPr>
            <xdr:cNvPr id="105" name="Picture 104">
              <a:extLst>
                <a:ext uri="{FF2B5EF4-FFF2-40B4-BE49-F238E27FC236}">
                  <a16:creationId xmlns:a16="http://schemas.microsoft.com/office/drawing/2014/main" id="{EAA433E2-35EB-5B18-8200-C7AAB29C6E57}"/>
                </a:ext>
              </a:extLst>
            </xdr:cNvPr>
            <xdr:cNvPicPr>
              <a:picLocks noChangeAspect="1" noChangeArrowheads="1"/>
              <a:extLst>
                <a:ext uri="{84589F7E-364E-4C9E-8A38-B11213B215E9}">
                  <a14:cameraTool cellRange="'Pivot Report'!$A$41:$D$43" spid="_x0000_s2094"/>
                </a:ext>
              </a:extLst>
            </xdr:cNvPicPr>
          </xdr:nvPicPr>
          <xdr:blipFill>
            <a:blip xmlns:r="http://schemas.openxmlformats.org/officeDocument/2006/relationships" r:embed="rId14"/>
            <a:srcRect/>
            <a:stretch>
              <a:fillRect/>
            </a:stretch>
          </xdr:blipFill>
          <xdr:spPr bwMode="auto">
            <a:xfrm>
              <a:off x="1343025" y="2514600"/>
              <a:ext cx="5486400" cy="4476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95250</xdr:colOff>
      <xdr:row>16</xdr:row>
      <xdr:rowOff>9526</xdr:rowOff>
    </xdr:from>
    <xdr:to>
      <xdr:col>11</xdr:col>
      <xdr:colOff>133350</xdr:colOff>
      <xdr:row>23</xdr:row>
      <xdr:rowOff>142876</xdr:rowOff>
    </xdr:to>
    <xdr:graphicFrame macro="">
      <xdr:nvGraphicFramePr>
        <xdr:cNvPr id="106" name="Chart 105">
          <a:extLst>
            <a:ext uri="{FF2B5EF4-FFF2-40B4-BE49-F238E27FC236}">
              <a16:creationId xmlns:a16="http://schemas.microsoft.com/office/drawing/2014/main" id="{4E9C2290-FA79-4BCC-BB8B-9F58399C7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466725</xdr:colOff>
      <xdr:row>23</xdr:row>
      <xdr:rowOff>57150</xdr:rowOff>
    </xdr:from>
    <xdr:to>
      <xdr:col>8</xdr:col>
      <xdr:colOff>361950</xdr:colOff>
      <xdr:row>24</xdr:row>
      <xdr:rowOff>142876</xdr:rowOff>
    </xdr:to>
    <xdr:sp macro="" textlink="">
      <xdr:nvSpPr>
        <xdr:cNvPr id="110" name="TextBox 109">
          <a:extLst>
            <a:ext uri="{FF2B5EF4-FFF2-40B4-BE49-F238E27FC236}">
              <a16:creationId xmlns:a16="http://schemas.microsoft.com/office/drawing/2014/main" id="{0517C951-944B-44C4-84ED-A23274470502}"/>
            </a:ext>
          </a:extLst>
        </xdr:cNvPr>
        <xdr:cNvSpPr txBox="1"/>
      </xdr:nvSpPr>
      <xdr:spPr>
        <a:xfrm>
          <a:off x="2905125" y="4438650"/>
          <a:ext cx="2333625"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kern="1200">
              <a:solidFill>
                <a:srgbClr val="7030A0"/>
              </a:solidFill>
            </a:rPr>
            <a:t>No.of</a:t>
          </a:r>
          <a:r>
            <a:rPr lang="en-US" sz="1400" kern="1200" baseline="0">
              <a:solidFill>
                <a:srgbClr val="7030A0"/>
              </a:solidFill>
            </a:rPr>
            <a:t> Patient by Age Group</a:t>
          </a:r>
          <a:endParaRPr lang="en-US" sz="1400" kern="1200">
            <a:solidFill>
              <a:srgbClr val="7030A0"/>
            </a:solidFill>
          </a:endParaRPr>
        </a:p>
      </xdr:txBody>
    </xdr:sp>
    <xdr:clientData/>
  </xdr:twoCellAnchor>
  <xdr:twoCellAnchor editAs="absolute">
    <xdr:from>
      <xdr:col>11</xdr:col>
      <xdr:colOff>523876</xdr:colOff>
      <xdr:row>10</xdr:row>
      <xdr:rowOff>142875</xdr:rowOff>
    </xdr:from>
    <xdr:to>
      <xdr:col>14</xdr:col>
      <xdr:colOff>495301</xdr:colOff>
      <xdr:row>12</xdr:row>
      <xdr:rowOff>180975</xdr:rowOff>
    </xdr:to>
    <xdr:sp macro="" textlink="">
      <xdr:nvSpPr>
        <xdr:cNvPr id="111" name="TextBox 110">
          <a:extLst>
            <a:ext uri="{FF2B5EF4-FFF2-40B4-BE49-F238E27FC236}">
              <a16:creationId xmlns:a16="http://schemas.microsoft.com/office/drawing/2014/main" id="{11FF6B8E-FE59-47E6-A6E0-010AAD7F3954}"/>
            </a:ext>
          </a:extLst>
        </xdr:cNvPr>
        <xdr:cNvSpPr txBox="1"/>
      </xdr:nvSpPr>
      <xdr:spPr>
        <a:xfrm>
          <a:off x="7229476" y="2047875"/>
          <a:ext cx="18002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kern="1200">
              <a:solidFill>
                <a:srgbClr val="7030A0"/>
              </a:solidFill>
            </a:rPr>
            <a:t>Patient</a:t>
          </a:r>
          <a:r>
            <a:rPr lang="en-US" sz="1400" kern="1200" baseline="0">
              <a:solidFill>
                <a:srgbClr val="7030A0"/>
              </a:solidFill>
            </a:rPr>
            <a:t> Attend Status</a:t>
          </a:r>
          <a:endParaRPr lang="en-US" sz="1400" kern="1200">
            <a:solidFill>
              <a:srgbClr val="7030A0"/>
            </a:solidFill>
          </a:endParaRPr>
        </a:p>
      </xdr:txBody>
    </xdr:sp>
    <xdr:clientData/>
  </xdr:twoCellAnchor>
  <xdr:twoCellAnchor editAs="absolute">
    <xdr:from>
      <xdr:col>15</xdr:col>
      <xdr:colOff>581026</xdr:colOff>
      <xdr:row>11</xdr:row>
      <xdr:rowOff>9524</xdr:rowOff>
    </xdr:from>
    <xdr:to>
      <xdr:col>18</xdr:col>
      <xdr:colOff>552451</xdr:colOff>
      <xdr:row>12</xdr:row>
      <xdr:rowOff>142875</xdr:rowOff>
    </xdr:to>
    <xdr:sp macro="" textlink="">
      <xdr:nvSpPr>
        <xdr:cNvPr id="112" name="TextBox 111">
          <a:extLst>
            <a:ext uri="{FF2B5EF4-FFF2-40B4-BE49-F238E27FC236}">
              <a16:creationId xmlns:a16="http://schemas.microsoft.com/office/drawing/2014/main" id="{921DC068-254B-4905-9145-F7094557C2FF}"/>
            </a:ext>
          </a:extLst>
        </xdr:cNvPr>
        <xdr:cNvSpPr txBox="1"/>
      </xdr:nvSpPr>
      <xdr:spPr>
        <a:xfrm>
          <a:off x="9725026" y="2105024"/>
          <a:ext cx="1800225"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kern="1200">
              <a:solidFill>
                <a:srgbClr val="7030A0"/>
              </a:solidFill>
            </a:rPr>
            <a:t>Gender</a:t>
          </a:r>
          <a:r>
            <a:rPr lang="en-US" sz="1400" kern="1200" baseline="0">
              <a:solidFill>
                <a:srgbClr val="7030A0"/>
              </a:solidFill>
            </a:rPr>
            <a:t> Wise Analysis</a:t>
          </a:r>
          <a:endParaRPr lang="en-US" sz="1400" kern="1200">
            <a:solidFill>
              <a:srgbClr val="7030A0"/>
            </a:solidFill>
          </a:endParaRPr>
        </a:p>
      </xdr:txBody>
    </xdr:sp>
    <xdr:clientData/>
  </xdr:twoCellAnchor>
  <xdr:twoCellAnchor editAs="absolute">
    <xdr:from>
      <xdr:col>13</xdr:col>
      <xdr:colOff>257175</xdr:colOff>
      <xdr:row>23</xdr:row>
      <xdr:rowOff>76199</xdr:rowOff>
    </xdr:from>
    <xdr:to>
      <xdr:col>18</xdr:col>
      <xdr:colOff>47625</xdr:colOff>
      <xdr:row>25</xdr:row>
      <xdr:rowOff>19050</xdr:rowOff>
    </xdr:to>
    <xdr:sp macro="" textlink="">
      <xdr:nvSpPr>
        <xdr:cNvPr id="113" name="TextBox 112">
          <a:extLst>
            <a:ext uri="{FF2B5EF4-FFF2-40B4-BE49-F238E27FC236}">
              <a16:creationId xmlns:a16="http://schemas.microsoft.com/office/drawing/2014/main" id="{C7EA91D9-F100-4B86-B2F2-F3626120BF4B}"/>
            </a:ext>
          </a:extLst>
        </xdr:cNvPr>
        <xdr:cNvSpPr txBox="1"/>
      </xdr:nvSpPr>
      <xdr:spPr>
        <a:xfrm>
          <a:off x="8181975" y="4457699"/>
          <a:ext cx="283845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kern="1200">
              <a:solidFill>
                <a:srgbClr val="7030A0"/>
              </a:solidFill>
            </a:rPr>
            <a:t>No.of</a:t>
          </a:r>
          <a:r>
            <a:rPr lang="en-US" sz="1400" kern="1200" baseline="0">
              <a:solidFill>
                <a:srgbClr val="7030A0"/>
              </a:solidFill>
            </a:rPr>
            <a:t> Patient by Department Referal</a:t>
          </a:r>
          <a:endParaRPr lang="en-US" sz="1400" kern="1200">
            <a:solidFill>
              <a:srgbClr val="7030A0"/>
            </a:solidFill>
          </a:endParaRPr>
        </a:p>
      </xdr:txBody>
    </xdr:sp>
    <xdr:clientData/>
  </xdr:twoCellAnchor>
  <xdr:twoCellAnchor editAs="absolute">
    <xdr:from>
      <xdr:col>11</xdr:col>
      <xdr:colOff>228600</xdr:colOff>
      <xdr:row>1</xdr:row>
      <xdr:rowOff>123825</xdr:rowOff>
    </xdr:from>
    <xdr:to>
      <xdr:col>14</xdr:col>
      <xdr:colOff>571500</xdr:colOff>
      <xdr:row>11</xdr:row>
      <xdr:rowOff>104775</xdr:rowOff>
    </xdr:to>
    <xdr:graphicFrame macro="">
      <xdr:nvGraphicFramePr>
        <xdr:cNvPr id="114" name="Chart 113">
          <a:extLst>
            <a:ext uri="{FF2B5EF4-FFF2-40B4-BE49-F238E27FC236}">
              <a16:creationId xmlns:a16="http://schemas.microsoft.com/office/drawing/2014/main" id="{75BFFBD0-79AB-4A18-9CA1-19E511C74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333375</xdr:colOff>
      <xdr:row>1</xdr:row>
      <xdr:rowOff>76200</xdr:rowOff>
    </xdr:from>
    <xdr:to>
      <xdr:col>19</xdr:col>
      <xdr:colOff>76199</xdr:colOff>
      <xdr:row>10</xdr:row>
      <xdr:rowOff>180975</xdr:rowOff>
    </xdr:to>
    <xdr:graphicFrame macro="">
      <xdr:nvGraphicFramePr>
        <xdr:cNvPr id="115" name="Chart 114">
          <a:extLst>
            <a:ext uri="{FF2B5EF4-FFF2-40B4-BE49-F238E27FC236}">
              <a16:creationId xmlns:a16="http://schemas.microsoft.com/office/drawing/2014/main" id="{6D40CA9C-AA68-4838-86DA-DD0A0B778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428625</xdr:colOff>
      <xdr:row>13</xdr:row>
      <xdr:rowOff>104775</xdr:rowOff>
    </xdr:from>
    <xdr:to>
      <xdr:col>19</xdr:col>
      <xdr:colOff>57150</xdr:colOff>
      <xdr:row>23</xdr:row>
      <xdr:rowOff>161925</xdr:rowOff>
    </xdr:to>
    <xdr:graphicFrame macro="">
      <xdr:nvGraphicFramePr>
        <xdr:cNvPr id="116" name="Chart 115">
          <a:extLst>
            <a:ext uri="{FF2B5EF4-FFF2-40B4-BE49-F238E27FC236}">
              <a16:creationId xmlns:a16="http://schemas.microsoft.com/office/drawing/2014/main" id="{A7667FDE-A755-4BA2-A882-FB9F65C07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8</xdr:col>
      <xdr:colOff>57150</xdr:colOff>
      <xdr:row>1</xdr:row>
      <xdr:rowOff>104775</xdr:rowOff>
    </xdr:from>
    <xdr:to>
      <xdr:col>10</xdr:col>
      <xdr:colOff>590550</xdr:colOff>
      <xdr:row>3</xdr:row>
      <xdr:rowOff>161925</xdr:rowOff>
    </xdr:to>
    <mc:AlternateContent xmlns:mc="http://schemas.openxmlformats.org/markup-compatibility/2006" xmlns:a14="http://schemas.microsoft.com/office/drawing/2010/main">
      <mc:Choice Requires="a14">
        <xdr:graphicFrame macro="">
          <xdr:nvGraphicFramePr>
            <xdr:cNvPr id="117" name="Date (Year)">
              <a:extLst>
                <a:ext uri="{FF2B5EF4-FFF2-40B4-BE49-F238E27FC236}">
                  <a16:creationId xmlns:a16="http://schemas.microsoft.com/office/drawing/2014/main" id="{12DB6FE4-D349-418A-8A5B-252D1EDE99C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967817" y="295275"/>
              <a:ext cx="1761066" cy="43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114301</xdr:colOff>
      <xdr:row>6</xdr:row>
      <xdr:rowOff>66675</xdr:rowOff>
    </xdr:from>
    <xdr:to>
      <xdr:col>1</xdr:col>
      <xdr:colOff>533400</xdr:colOff>
      <xdr:row>23</xdr:row>
      <xdr:rowOff>180974</xdr:rowOff>
    </xdr:to>
    <mc:AlternateContent xmlns:mc="http://schemas.openxmlformats.org/markup-compatibility/2006" xmlns:a14="http://schemas.microsoft.com/office/drawing/2010/main">
      <mc:Choice Requires="a14">
        <xdr:graphicFrame macro="">
          <xdr:nvGraphicFramePr>
            <xdr:cNvPr id="82" name="Date (Month)">
              <a:extLst>
                <a:ext uri="{FF2B5EF4-FFF2-40B4-BE49-F238E27FC236}">
                  <a16:creationId xmlns:a16="http://schemas.microsoft.com/office/drawing/2014/main" id="{7A7DD7D0-8166-437B-A4C2-C0149BB99C4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4301" y="1209675"/>
              <a:ext cx="1032932" cy="3352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2</xdr:row>
      <xdr:rowOff>38100</xdr:rowOff>
    </xdr:from>
    <xdr:to>
      <xdr:col>13</xdr:col>
      <xdr:colOff>76200</xdr:colOff>
      <xdr:row>16</xdr:row>
      <xdr:rowOff>57150</xdr:rowOff>
    </xdr:to>
    <xdr:graphicFrame macro="">
      <xdr:nvGraphicFramePr>
        <xdr:cNvPr id="2" name="Chart 1">
          <a:extLst>
            <a:ext uri="{FF2B5EF4-FFF2-40B4-BE49-F238E27FC236}">
              <a16:creationId xmlns:a16="http://schemas.microsoft.com/office/drawing/2014/main" id="{2D575A46-0B56-4D43-9A24-C73A99DA8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0.00162</cdr:x>
      <cdr:y>0</cdr:y>
    </cdr:from>
    <cdr:to>
      <cdr:x>0.08604</cdr:x>
      <cdr:y>0.18155</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7D6A3C8-73A7-8606-5BD1-6EB59C1BD18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9525" y="0"/>
          <a:ext cx="495300" cy="487656"/>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485775</xdr:colOff>
      <xdr:row>2</xdr:row>
      <xdr:rowOff>142875</xdr:rowOff>
    </xdr:from>
    <xdr:to>
      <xdr:col>14</xdr:col>
      <xdr:colOff>85725</xdr:colOff>
      <xdr:row>20</xdr:row>
      <xdr:rowOff>47625</xdr:rowOff>
    </xdr:to>
    <xdr:graphicFrame macro="">
      <xdr:nvGraphicFramePr>
        <xdr:cNvPr id="2" name="Chart 1">
          <a:extLst>
            <a:ext uri="{FF2B5EF4-FFF2-40B4-BE49-F238E27FC236}">
              <a16:creationId xmlns:a16="http://schemas.microsoft.com/office/drawing/2014/main" id="{1949E543-567B-4859-9E5F-5741F554A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0.0082</cdr:x>
      <cdr:y>0.02571</cdr:y>
    </cdr:from>
    <cdr:to>
      <cdr:x>0.0808</cdr:x>
      <cdr:y>0.16286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E730B6E-A1C1-1C87-6074-B318BAD9DB0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6676" y="85725"/>
          <a:ext cx="590550" cy="4572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1</xdr:col>
      <xdr:colOff>19049</xdr:colOff>
      <xdr:row>1</xdr:row>
      <xdr:rowOff>114300</xdr:rowOff>
    </xdr:from>
    <xdr:to>
      <xdr:col>11</xdr:col>
      <xdr:colOff>523875</xdr:colOff>
      <xdr:row>16</xdr:row>
      <xdr:rowOff>38100</xdr:rowOff>
    </xdr:to>
    <xdr:graphicFrame macro="">
      <xdr:nvGraphicFramePr>
        <xdr:cNvPr id="2" name="Chart 1">
          <a:extLst>
            <a:ext uri="{FF2B5EF4-FFF2-40B4-BE49-F238E27FC236}">
              <a16:creationId xmlns:a16="http://schemas.microsoft.com/office/drawing/2014/main" id="{221FFBF3-F143-470C-94B5-6FB465F64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1.51496E-7</cdr:x>
      <cdr:y>0</cdr:y>
    </cdr:from>
    <cdr:to>
      <cdr:x>0.06205</cdr:x>
      <cdr:y>0.13014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6405837-4F28-872F-FD4A-2DEFF662CA8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0"/>
          <a:ext cx="409575" cy="3619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7.214940972219" createdVersion="5" refreshedVersion="8" minRefreshableVersion="3" recordCount="0" supportSubquery="1" supportAdvancedDrill="1" xr:uid="{8B879FF4-A595-498B-B4B1-0C0DB1F8F0B1}">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7.21494189815" createdVersion="5" refreshedVersion="8" minRefreshableVersion="3" recordCount="0" supportSubquery="1" supportAdvancedDrill="1" xr:uid="{E68B50A7-0147-4C62-A59C-BBDFD8C32B78}">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7.214942939812" createdVersion="5" refreshedVersion="8" minRefreshableVersion="3" recordCount="0" supportSubquery="1" supportAdvancedDrill="1" xr:uid="{97511398-7E2B-4C72-A91E-BF5C57FC06F6}">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7.214944328705" createdVersion="5" refreshedVersion="8" minRefreshableVersion="3" recordCount="0" supportSubquery="1" supportAdvancedDrill="1" xr:uid="{719BC501-9BA7-461D-9C11-38272B7FCDD9}">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7.214945601852" createdVersion="5" refreshedVersion="8" minRefreshableVersion="3" recordCount="0" supportSubquery="1" supportAdvancedDrill="1" xr:uid="{16CFDCB9-1821-4B73-8F57-E91AD176D18B}">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7.214946990738" createdVersion="5" refreshedVersion="8" minRefreshableVersion="3" recordCount="0" supportSubquery="1" supportAdvancedDrill="1" xr:uid="{5C417973-F91B-4D1F-8FF7-E386D92ACFBA}">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7.214948379631" createdVersion="5" refreshedVersion="8" minRefreshableVersion="3" recordCount="0" supportSubquery="1" supportAdvancedDrill="1" xr:uid="{39514D23-2F26-44D4-87DF-7441A3C6A0EA}">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7.214949074078" createdVersion="5" refreshedVersion="8" minRefreshableVersion="3" recordCount="0" supportSubquery="1" supportAdvancedDrill="1" xr:uid="{A06D1E39-CA3D-4905-BE59-CB1E8D02EC3D}">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7.214949768517" createdVersion="5" refreshedVersion="8" minRefreshableVersion="3" recordCount="0" supportSubquery="1" supportAdvancedDrill="1" xr:uid="{2854DC15-D249-45C6-AC92-E70E5F81C7A3}">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0"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7.214950462963" createdVersion="5" refreshedVersion="8" minRefreshableVersion="3" recordCount="0" supportSubquery="1" supportAdvancedDrill="1" xr:uid="{F73763FE-404D-43B4-B76A-0B92B7FCB443}">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1"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7.21495115741" createdVersion="5" refreshedVersion="8" minRefreshableVersion="3" recordCount="0" supportSubquery="1" supportAdvancedDrill="1" xr:uid="{C9EA9EE3-E7C8-470A-9398-574622A83184}">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7.214951851849" createdVersion="5" refreshedVersion="8" minRefreshableVersion="3" recordCount="0" supportSubquery="1" supportAdvancedDrill="1" xr:uid="{DB2BB8DB-3AD3-4521-AFB1-A1F97B67CDA3}">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3"/>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5.033879050927" createdVersion="3" refreshedVersion="8" minRefreshableVersion="3" recordCount="0" supportSubquery="1" supportAdvancedDrill="1" xr:uid="{D4698301-4F02-4D94-AC06-097A87466F2A}">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0192971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gadeesh Veuthu" refreshedDate="46135.034371064816" createdVersion="3" refreshedVersion="8" minRefreshableVersion="3" recordCount="0" supportSubquery="1" supportAdvancedDrill="1" xr:uid="{4B8399B0-BB54-4293-B8E5-472C9EA3DB81}">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807553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1CFAFA-981D-4E09-9B06-6F2DBBD08ACD}" name="Year" cacheId="949" applyNumberFormats="0" applyBorderFormats="0" applyFontFormats="0" applyPatternFormats="0" applyAlignmentFormats="0" applyWidthHeightFormats="1" dataCaption="Values" tag="ad6d4450-5167-4e06-a41e-5155baebc78b" updatedVersion="8" minRefreshableVersion="3" subtotalHiddenItems="1" itemPrintTitles="1" createdVersion="5" indent="0" outline="1" outlineData="1" multipleFieldFilters="0" chartFormat="27">
  <location ref="G58:G60"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338">
      <pivotArea outline="0" collapsedLevelsAreSubtotals="1" fieldPosition="0"/>
    </format>
  </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4A7E00-56E5-44EC-8D11-E618D5E27C5B}" name="deartment" cacheId="946" applyNumberFormats="0" applyBorderFormats="0" applyFontFormats="0" applyPatternFormats="0" applyAlignmentFormats="0" applyWidthHeightFormats="1" dataCaption="Values" tag="2a266911-5de5-4a7f-8118-5e05ecb35818" updatedVersion="8" minRefreshableVersion="3" subtotalHiddenItems="1" itemPrintTitles="1" createdVersion="5" indent="0" outline="1" outlineData="1" multipleFieldFilters="0" chartFormat="31">
  <location ref="D55:E6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2">
    <format dxfId="340">
      <pivotArea outline="0" collapsedLevelsAreSubtotals="1" fieldPosition="0"/>
    </format>
    <format dxfId="339">
      <pivotArea collapsedLevelsAreSubtotals="1" fieldPosition="0">
        <references count="1">
          <reference field="1" count="0"/>
        </references>
      </pivotArea>
    </format>
  </formats>
  <chartFormats count="2">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1D7E21-1EBB-4017-AA2D-058DD68CC6D1}" name="Avg staisfaction score" cacheId="919" applyNumberFormats="0" applyBorderFormats="0" applyFontFormats="0" applyPatternFormats="0" applyAlignmentFormats="0" applyWidthHeightFormats="1" dataCaption="Values" tag="2934c0e7-0232-42bb-b9de-3f8685e4a332" updatedVersion="8" minRefreshableVersion="3" useAutoFormatting="1"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341">
      <pivotArea outline="0" collapsedLevelsAreSubtotals="1" fieldPosition="0"/>
    </format>
  </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451F62-4DFA-404A-BB08-52B828742260}" name="patient count" cacheId="925" applyNumberFormats="0" applyBorderFormats="0" applyFontFormats="0" applyPatternFormats="0" applyAlignmentFormats="0" applyWidthHeightFormats="1" dataCaption="Values" tag="f63c9911-a634-4aca-95d7-e82133eb865f" updatedVersion="8" minRefreshableVersion="3" useAutoFormatting="1" subtotalHiddenItems="1" itemPrintTitles="1" createdVersion="5" indent="0" outline="1" outlineData="1" multipleFieldFilters="0">
  <location ref="A2:A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383E80-3E77-42B7-82D8-97FD6D6C4F20}" name="age grou" cacheId="937" applyNumberFormats="0" applyBorderFormats="0" applyFontFormats="0" applyPatternFormats="0" applyAlignmentFormats="0" applyWidthHeightFormats="1" dataCaption="Values" tag="483a04d1-5697-4c91-835a-1b8597f92a04" updatedVersion="8" minRefreshableVersion="3" subtotalHiddenItems="1" itemPrintTitles="1" createdVersion="5" indent="0" outline="1" outlineData="1" multipleFieldFilters="0" chartFormat="11">
  <location ref="A47:B5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Patient Id" fld="2" subtotal="count" baseField="0" baseItem="0"/>
  </dataFields>
  <formats count="2">
    <format dxfId="343">
      <pivotArea outline="0" collapsedLevelsAreSubtotals="1" fieldPosition="0"/>
    </format>
    <format dxfId="342">
      <pivotArea collapsedLevelsAreSubtotals="1" fieldPosition="0">
        <references count="1">
          <reference field="1" count="0"/>
        </references>
      </pivotArea>
    </format>
  </formats>
  <chartFormats count="1">
    <chartFormat chart="9"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13EFB0-89A9-4B89-ADB9-AE09B8412F62}" name="avg satisfaction score" cacheId="931" applyNumberFormats="0" applyBorderFormats="0" applyFontFormats="0" applyPatternFormats="0" applyAlignmentFormats="0" applyWidthHeightFormats="1" dataCaption="Values" tag="5328dce3-762f-429f-be92-32ce50e4a758" updatedVersion="8" minRefreshableVersion="3" useAutoFormatting="1" subtotalHiddenItems="1" itemPrintTitles="1" createdVersion="5" indent="0" outline="1" outlineData="1" multipleFieldFilters="0" chartFormat="27">
  <location ref="I2:J33"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344">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AE057D-304D-40C1-AD42-E7D03F90D4DB}" name="Avg waittime" cacheId="922" applyNumberFormats="0" applyBorderFormats="0" applyFontFormats="0" applyPatternFormats="0" applyAlignmentFormats="0" applyWidthHeightFormats="1" dataCaption="Values" tag="58c7405e-58c5-46b5-afec-aa7f237e3d6c" updatedVersion="8" minRefreshableVersion="3" useAutoFormatting="1"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45">
      <pivotArea outline="0" collapsedLevelsAreSubtotals="1" fieldPosition="0"/>
    </format>
  </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CD786B-92F9-4FAC-AC17-5E5C430967C1}" name="Avg waittime dailty trend" cacheId="928" applyNumberFormats="0" applyBorderFormats="0" applyFontFormats="0" applyPatternFormats="0" applyAlignmentFormats="0" applyWidthHeightFormats="1" dataCaption="Values" tag="efbe5bf8-b2e1-4fd4-afef-d952528702d4" updatedVersion="8" minRefreshableVersion="3" useAutoFormatting="1" subtotalHiddenItems="1" itemPrintTitles="1" createdVersion="5" indent="0" outline="1" outlineData="1" multipleFieldFilters="0" chartFormat="24">
  <location ref="F2:G33"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3" numFmtId="2"/>
  </dataFields>
  <formats count="1">
    <format dxfId="346">
      <pivotArea outline="0" collapsedLevelsAreSubtotals="1" fieldPosition="0"/>
    </format>
  </formats>
  <chartFormats count="2">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1A2FDC-5C42-4AFB-873B-360C9D253359}" name="Daily Trends of no.of atients" cacheId="916" applyNumberFormats="0" applyBorderFormats="0" applyFontFormats="0" applyPatternFormats="0" applyAlignmentFormats="0" applyWidthHeightFormats="1" dataCaption="Values" tag="d85093ee-1eec-403f-a562-9d39952aa7bd" updatedVersion="8" minRefreshableVersion="3" useAutoFormatting="1" subtotalHiddenItems="1" itemPrintTitles="1" createdVersion="5" indent="0" outline="1" outlineData="1" multipleFieldFilters="0" chartFormat="9">
  <location ref="C2:D33"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E915C7-DB26-42AA-8283-8FA0B308B6C5}" name="Gender" cacheId="943" applyNumberFormats="0" applyBorderFormats="0" applyFontFormats="0" applyPatternFormats="0" applyAlignmentFormats="0" applyWidthHeightFormats="1" dataCaption="Values" tag="76848925-338c-499e-ad0c-d776c00a1a19" updatedVersion="8" minRefreshableVersion="3" subtotalHiddenItems="1" itemPrintTitles="1" createdVersion="5" indent="0" outline="1" outlineData="1" multipleFieldFilters="0" chartFormat="34">
  <location ref="G47:H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47">
      <pivotArea outline="0" collapsedLevelsAreSubtotals="1" fieldPosition="0"/>
    </format>
  </formats>
  <chartFormats count="3">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1" count="1" selected="0">
            <x v="0"/>
          </reference>
        </references>
      </pivotArea>
    </chartFormat>
    <chartFormat chart="33"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D9B658-6626-4BB0-B46F-B092E851E585}" name="admission flag" cacheId="934" applyNumberFormats="0" applyBorderFormats="0" applyFontFormats="0" applyPatternFormats="0" applyAlignmentFormats="0" applyWidthHeightFormats="1" dataCaption="Values" tag="4c4e1730-7e9c-4d8b-9f8c-7833a36d8071" updatedVersion="8" minRefreshableVersion="3" subtotalHiddenItems="1" itemPrintTitles="1" createdVersion="5" indent="0" outline="1" outlineData="1" multipleFieldFilters="0" chartFormat="6">
  <location ref="A35:C38" firstHeaderRow="0" firstDataRow="1" firstDataCol="1"/>
  <pivotFields count="5">
    <pivotField allDrilled="1" subtotalTop="0" showAll="0" dataSourceSort="1" defaultSubtotal="0" defaultAttributeDrillState="1"/>
    <pivotField axis="axisRow" allDrilled="1" subtotalTop="0" showAll="0" sortType="ascending" dataSourceSort="1"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1" baseItem="0"/>
    <dataField name="Count of Patient Admission Flag2" fld="4" subtotal="count" showDataAs="percentOfCo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349">
      <pivotArea outline="0" collapsedLevelsAreSubtotals="1" fieldPosition="0"/>
    </format>
    <format dxfId="348">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1"/>
          </reference>
          <reference field="1" count="1" selected="0">
            <x v="0"/>
          </reference>
        </references>
      </pivotArea>
    </chartFormat>
    <chartFormat chart="0" format="5">
      <pivotArea type="data" outline="0" fieldPosition="0">
        <references count="2">
          <reference field="4294967294" count="1" selected="0">
            <x v="1"/>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BCFAA9-B1A2-48BE-8D9F-B741446A926B}" name="attend status" cacheId="940" applyNumberFormats="0" applyBorderFormats="0" applyFontFormats="0" applyPatternFormats="0" applyAlignmentFormats="0" applyWidthHeightFormats="1" dataCaption="Values" tag="70c7e3d8-1ba7-41b1-bd34-37e8038e0124" updatedVersion="8" minRefreshableVersion="3" subtotalHiddenItems="1" itemPrintTitles="1" createdVersion="5" indent="0" outline="1" outlineData="1" multipleFieldFilters="0" chartFormat="27">
  <location ref="D47:E5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350">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C48D233-5FFC-4219-9E0D-47100144DD99}" sourceName="[Calendar_Table].[Date (Month)]">
  <pivotTables>
    <pivotTable tabId="1" name="Daily Trends of no.of atients"/>
    <pivotTable tabId="1" name="Avg staisfaction score"/>
    <pivotTable tabId="1" name="Avg waittime"/>
    <pivotTable tabId="1" name="patient count"/>
    <pivotTable tabId="1" name="Avg waittime dailty trend"/>
    <pivotTable tabId="1" name="avg satisfaction score"/>
    <pivotTable tabId="1" name="admission flag"/>
    <pivotTable tabId="1" name="age grou"/>
    <pivotTable tabId="1" name="attend status"/>
    <pivotTable tabId="1" name="Gender"/>
    <pivotTable tabId="1" name="deartment"/>
    <pivotTable tabId="1" name="Year"/>
  </pivotTables>
  <data>
    <olap pivotCacheId="2001929717">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557C897-52B0-45ED-B106-E25817621C78}" sourceName="[Calendar_Table].[Date (Year)]">
  <pivotTables>
    <pivotTable tabId="1" name="Year"/>
    <pivotTable tabId="1" name="admission flag"/>
    <pivotTable tabId="1" name="age grou"/>
    <pivotTable tabId="1" name="attend status"/>
    <pivotTable tabId="1" name="avg satisfaction score"/>
    <pivotTable tabId="1" name="Avg staisfaction score"/>
    <pivotTable tabId="1" name="Avg waittime"/>
    <pivotTable tabId="1" name="Avg waittime dailty trend"/>
    <pivotTable tabId="1" name="Daily Trends of no.of atients"/>
    <pivotTable tabId="1" name="deartment"/>
    <pivotTable tabId="1" name="Gender"/>
    <pivotTable tabId="1" name="patient count"/>
  </pivotTables>
  <data>
    <olap pivotCacheId="58075538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7AA1D6A-86BF-42AF-906C-9E8FE4B9338C}" cache="Slicer_Date__Month" caption="Date (Month)" showCaption="0" level="1" style="SlicerStyleDark4" rowHeight="241300"/>
  <slicer name="Date (Year)" xr10:uid="{0E9B29A1-0A42-4577-84D9-AA1BED7D9E1C}" cache="Slicer_Date__Year" caption="Date (Year)" columnCount="2" showCaption="0" level="1"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D09C-F551-47E2-8035-DA0ECF3CDA4C}">
  <dimension ref="A1:J64"/>
  <sheetViews>
    <sheetView tabSelected="1" topLeftCell="A26" workbookViewId="0">
      <selection activeCell="G42" sqref="G42"/>
    </sheetView>
  </sheetViews>
  <sheetFormatPr defaultRowHeight="15" x14ac:dyDescent="0.25"/>
  <cols>
    <col min="1" max="1" width="25.140625" bestFit="1" customWidth="1"/>
    <col min="2" max="2" width="18.85546875" customWidth="1"/>
    <col min="3" max="3" width="13.140625" customWidth="1"/>
    <col min="4" max="4" width="25.140625" customWidth="1"/>
    <col min="5" max="5" width="11.28515625" bestFit="1" customWidth="1"/>
    <col min="6" max="6" width="13.140625" bestFit="1" customWidth="1"/>
    <col min="7" max="7" width="26.85546875" bestFit="1" customWidth="1"/>
    <col min="8" max="8" width="23.28515625" bestFit="1" customWidth="1"/>
    <col min="9" max="9" width="13.140625" bestFit="1" customWidth="1"/>
    <col min="10" max="10" width="34.28515625" bestFit="1" customWidth="1"/>
    <col min="11" max="11" width="30.7109375" bestFit="1" customWidth="1"/>
  </cols>
  <sheetData>
    <row r="1" spans="1:10" x14ac:dyDescent="0.25">
      <c r="A1" t="s">
        <v>2</v>
      </c>
    </row>
    <row r="2" spans="1:10" x14ac:dyDescent="0.25">
      <c r="A2" t="s">
        <v>1</v>
      </c>
      <c r="C2" s="2" t="s">
        <v>20</v>
      </c>
      <c r="D2" t="s">
        <v>1</v>
      </c>
      <c r="F2" s="2" t="s">
        <v>20</v>
      </c>
      <c r="G2" t="s">
        <v>3</v>
      </c>
      <c r="I2" s="2" t="s">
        <v>20</v>
      </c>
      <c r="J2" t="s">
        <v>4</v>
      </c>
    </row>
    <row r="3" spans="1:10" x14ac:dyDescent="0.25">
      <c r="A3" s="1">
        <v>506</v>
      </c>
      <c r="C3" s="5" t="s">
        <v>39</v>
      </c>
      <c r="D3" s="1">
        <v>26</v>
      </c>
      <c r="F3" s="5" t="s">
        <v>39</v>
      </c>
      <c r="G3" s="4">
        <v>34.884615384615387</v>
      </c>
      <c r="I3" s="5" t="s">
        <v>39</v>
      </c>
      <c r="J3" s="4">
        <v>4.8</v>
      </c>
    </row>
    <row r="4" spans="1:10" x14ac:dyDescent="0.25">
      <c r="C4" s="5" t="s">
        <v>40</v>
      </c>
      <c r="D4" s="1">
        <v>17</v>
      </c>
      <c r="F4" s="5" t="s">
        <v>40</v>
      </c>
      <c r="G4" s="4">
        <v>34.941176470588232</v>
      </c>
      <c r="I4" s="5" t="s">
        <v>40</v>
      </c>
      <c r="J4" s="4">
        <v>5.333333333333333</v>
      </c>
    </row>
    <row r="5" spans="1:10" x14ac:dyDescent="0.25">
      <c r="C5" s="5" t="s">
        <v>41</v>
      </c>
      <c r="D5" s="1">
        <v>19</v>
      </c>
      <c r="F5" s="5" t="s">
        <v>41</v>
      </c>
      <c r="G5" s="4">
        <v>32.736842105263158</v>
      </c>
      <c r="I5" s="5" t="s">
        <v>41</v>
      </c>
      <c r="J5" s="4">
        <v>6.666666666666667</v>
      </c>
    </row>
    <row r="6" spans="1:10" x14ac:dyDescent="0.25">
      <c r="A6" t="s">
        <v>3</v>
      </c>
      <c r="C6" s="5" t="s">
        <v>42</v>
      </c>
      <c r="D6" s="1">
        <v>17</v>
      </c>
      <c r="F6" s="5" t="s">
        <v>42</v>
      </c>
      <c r="G6" s="4">
        <v>34.411764705882355</v>
      </c>
      <c r="I6" s="5" t="s">
        <v>42</v>
      </c>
      <c r="J6" s="4">
        <v>4.5555555555555554</v>
      </c>
    </row>
    <row r="7" spans="1:10" x14ac:dyDescent="0.25">
      <c r="A7" s="4">
        <v>35.581027667984188</v>
      </c>
      <c r="C7" s="5" t="s">
        <v>43</v>
      </c>
      <c r="D7" s="1">
        <v>18</v>
      </c>
      <c r="F7" s="5" t="s">
        <v>43</v>
      </c>
      <c r="G7" s="4">
        <v>34.388888888888886</v>
      </c>
      <c r="I7" s="5" t="s">
        <v>43</v>
      </c>
      <c r="J7" s="4">
        <v>4.333333333333333</v>
      </c>
    </row>
    <row r="8" spans="1:10" x14ac:dyDescent="0.25">
      <c r="C8" s="5" t="s">
        <v>44</v>
      </c>
      <c r="D8" s="1">
        <v>17</v>
      </c>
      <c r="F8" s="5" t="s">
        <v>44</v>
      </c>
      <c r="G8" s="4">
        <v>33.294117647058826</v>
      </c>
      <c r="I8" s="5" t="s">
        <v>44</v>
      </c>
      <c r="J8" s="4">
        <v>7.333333333333333</v>
      </c>
    </row>
    <row r="9" spans="1:10" x14ac:dyDescent="0.25">
      <c r="C9" s="5" t="s">
        <v>45</v>
      </c>
      <c r="D9" s="1">
        <v>17</v>
      </c>
      <c r="F9" s="5" t="s">
        <v>45</v>
      </c>
      <c r="G9" s="4">
        <v>35</v>
      </c>
      <c r="I9" s="5" t="s">
        <v>45</v>
      </c>
      <c r="J9" s="4">
        <v>5.25</v>
      </c>
    </row>
    <row r="10" spans="1:10" x14ac:dyDescent="0.25">
      <c r="A10" t="s">
        <v>4</v>
      </c>
      <c r="C10" s="5" t="s">
        <v>46</v>
      </c>
      <c r="D10" s="1">
        <v>19</v>
      </c>
      <c r="F10" s="5" t="s">
        <v>46</v>
      </c>
      <c r="G10" s="4">
        <v>36.736842105263158</v>
      </c>
      <c r="I10" s="5" t="s">
        <v>46</v>
      </c>
      <c r="J10" s="4">
        <v>6.333333333333333</v>
      </c>
    </row>
    <row r="11" spans="1:10" x14ac:dyDescent="0.25">
      <c r="A11" s="4">
        <v>5.1818181818181817</v>
      </c>
      <c r="C11" s="5" t="s">
        <v>47</v>
      </c>
      <c r="D11" s="1">
        <v>19</v>
      </c>
      <c r="F11" s="5" t="s">
        <v>47</v>
      </c>
      <c r="G11" s="4">
        <v>37.368421052631582</v>
      </c>
      <c r="I11" s="5" t="s">
        <v>47</v>
      </c>
      <c r="J11" s="4">
        <v>5.7142857142857144</v>
      </c>
    </row>
    <row r="12" spans="1:10" x14ac:dyDescent="0.25">
      <c r="C12" s="5" t="s">
        <v>48</v>
      </c>
      <c r="D12" s="1">
        <v>14</v>
      </c>
      <c r="F12" s="5" t="s">
        <v>48</v>
      </c>
      <c r="G12" s="4">
        <v>31.428571428571427</v>
      </c>
      <c r="I12" s="5" t="s">
        <v>48</v>
      </c>
      <c r="J12" s="4">
        <v>5</v>
      </c>
    </row>
    <row r="13" spans="1:10" x14ac:dyDescent="0.25">
      <c r="C13" s="5" t="s">
        <v>49</v>
      </c>
      <c r="D13" s="1">
        <v>17</v>
      </c>
      <c r="F13" s="5" t="s">
        <v>49</v>
      </c>
      <c r="G13" s="4">
        <v>45.470588235294116</v>
      </c>
      <c r="I13" s="5" t="s">
        <v>49</v>
      </c>
      <c r="J13" s="4">
        <v>6.166666666666667</v>
      </c>
    </row>
    <row r="14" spans="1:10" x14ac:dyDescent="0.25">
      <c r="C14" s="5" t="s">
        <v>50</v>
      </c>
      <c r="D14" s="1">
        <v>20</v>
      </c>
      <c r="F14" s="5" t="s">
        <v>50</v>
      </c>
      <c r="G14" s="4">
        <v>32.549999999999997</v>
      </c>
      <c r="I14" s="5" t="s">
        <v>50</v>
      </c>
      <c r="J14" s="4">
        <v>3</v>
      </c>
    </row>
    <row r="15" spans="1:10" x14ac:dyDescent="0.25">
      <c r="C15" s="5" t="s">
        <v>51</v>
      </c>
      <c r="D15" s="1">
        <v>13</v>
      </c>
      <c r="F15" s="5" t="s">
        <v>51</v>
      </c>
      <c r="G15" s="4">
        <v>39.615384615384613</v>
      </c>
      <c r="I15" s="5" t="s">
        <v>51</v>
      </c>
      <c r="J15" s="4">
        <v>4.5</v>
      </c>
    </row>
    <row r="16" spans="1:10" x14ac:dyDescent="0.25">
      <c r="C16" s="5" t="s">
        <v>52</v>
      </c>
      <c r="D16" s="1">
        <v>14</v>
      </c>
      <c r="F16" s="5" t="s">
        <v>52</v>
      </c>
      <c r="G16" s="4">
        <v>36</v>
      </c>
      <c r="I16" s="5" t="s">
        <v>52</v>
      </c>
      <c r="J16" s="4">
        <v>4.666666666666667</v>
      </c>
    </row>
    <row r="17" spans="3:10" x14ac:dyDescent="0.25">
      <c r="C17" s="5" t="s">
        <v>53</v>
      </c>
      <c r="D17" s="1">
        <v>15</v>
      </c>
      <c r="F17" s="5" t="s">
        <v>53</v>
      </c>
      <c r="G17" s="4">
        <v>31.6</v>
      </c>
      <c r="I17" s="5" t="s">
        <v>53</v>
      </c>
      <c r="J17" s="4">
        <v>9</v>
      </c>
    </row>
    <row r="18" spans="3:10" x14ac:dyDescent="0.25">
      <c r="C18" s="5" t="s">
        <v>54</v>
      </c>
      <c r="D18" s="1">
        <v>13</v>
      </c>
      <c r="F18" s="5" t="s">
        <v>54</v>
      </c>
      <c r="G18" s="4">
        <v>33.846153846153847</v>
      </c>
      <c r="I18" s="5" t="s">
        <v>54</v>
      </c>
      <c r="J18" s="4">
        <v>1.5</v>
      </c>
    </row>
    <row r="19" spans="3:10" x14ac:dyDescent="0.25">
      <c r="C19" s="5" t="s">
        <v>55</v>
      </c>
      <c r="D19" s="1">
        <v>15</v>
      </c>
      <c r="F19" s="5" t="s">
        <v>55</v>
      </c>
      <c r="G19" s="4">
        <v>31.8</v>
      </c>
      <c r="I19" s="5" t="s">
        <v>55</v>
      </c>
      <c r="J19" s="4">
        <v>6.8</v>
      </c>
    </row>
    <row r="20" spans="3:10" x14ac:dyDescent="0.25">
      <c r="C20" s="5" t="s">
        <v>56</v>
      </c>
      <c r="D20" s="1">
        <v>17</v>
      </c>
      <c r="F20" s="5" t="s">
        <v>56</v>
      </c>
      <c r="G20" s="4">
        <v>36</v>
      </c>
      <c r="I20" s="5" t="s">
        <v>56</v>
      </c>
      <c r="J20" s="4">
        <v>4.625</v>
      </c>
    </row>
    <row r="21" spans="3:10" x14ac:dyDescent="0.25">
      <c r="C21" s="5" t="s">
        <v>57</v>
      </c>
      <c r="D21" s="1">
        <v>10</v>
      </c>
      <c r="F21" s="5" t="s">
        <v>57</v>
      </c>
      <c r="G21" s="4">
        <v>29.8</v>
      </c>
      <c r="I21" s="5" t="s">
        <v>57</v>
      </c>
      <c r="J21" s="4">
        <v>4.333333333333333</v>
      </c>
    </row>
    <row r="22" spans="3:10" x14ac:dyDescent="0.25">
      <c r="C22" s="5" t="s">
        <v>58</v>
      </c>
      <c r="D22" s="1">
        <v>13</v>
      </c>
      <c r="F22" s="5" t="s">
        <v>58</v>
      </c>
      <c r="G22" s="4">
        <v>41.307692307692307</v>
      </c>
      <c r="I22" s="5" t="s">
        <v>58</v>
      </c>
      <c r="J22" s="4">
        <v>1.3333333333333333</v>
      </c>
    </row>
    <row r="23" spans="3:10" x14ac:dyDescent="0.25">
      <c r="C23" s="5" t="s">
        <v>59</v>
      </c>
      <c r="D23" s="1">
        <v>17</v>
      </c>
      <c r="F23" s="5" t="s">
        <v>59</v>
      </c>
      <c r="G23" s="4">
        <v>29.764705882352942</v>
      </c>
      <c r="I23" s="5" t="s">
        <v>59</v>
      </c>
      <c r="J23" s="4">
        <v>5</v>
      </c>
    </row>
    <row r="24" spans="3:10" x14ac:dyDescent="0.25">
      <c r="C24" s="5" t="s">
        <v>60</v>
      </c>
      <c r="D24" s="1">
        <v>26</v>
      </c>
      <c r="F24" s="5" t="s">
        <v>60</v>
      </c>
      <c r="G24" s="4">
        <v>37.92307692307692</v>
      </c>
      <c r="I24" s="5" t="s">
        <v>60</v>
      </c>
      <c r="J24" s="4">
        <v>3.1666666666666665</v>
      </c>
    </row>
    <row r="25" spans="3:10" x14ac:dyDescent="0.25">
      <c r="C25" s="5" t="s">
        <v>61</v>
      </c>
      <c r="D25" s="1">
        <v>8</v>
      </c>
      <c r="F25" s="5" t="s">
        <v>61</v>
      </c>
      <c r="G25" s="4">
        <v>38.625</v>
      </c>
      <c r="I25" s="5" t="s">
        <v>61</v>
      </c>
      <c r="J25" s="4">
        <v>7.5</v>
      </c>
    </row>
    <row r="26" spans="3:10" x14ac:dyDescent="0.25">
      <c r="C26" s="5" t="s">
        <v>62</v>
      </c>
      <c r="D26" s="1">
        <v>17</v>
      </c>
      <c r="F26" s="5" t="s">
        <v>62</v>
      </c>
      <c r="G26" s="4">
        <v>41.470588235294116</v>
      </c>
      <c r="I26" s="5" t="s">
        <v>62</v>
      </c>
      <c r="J26" s="4">
        <v>4.2</v>
      </c>
    </row>
    <row r="27" spans="3:10" x14ac:dyDescent="0.25">
      <c r="C27" s="5" t="s">
        <v>63</v>
      </c>
      <c r="D27" s="1">
        <v>18</v>
      </c>
      <c r="F27" s="5" t="s">
        <v>63</v>
      </c>
      <c r="G27" s="4">
        <v>39.5</v>
      </c>
      <c r="I27" s="5" t="s">
        <v>63</v>
      </c>
      <c r="J27" s="4">
        <v>4.625</v>
      </c>
    </row>
    <row r="28" spans="3:10" x14ac:dyDescent="0.25">
      <c r="C28" s="5" t="s">
        <v>64</v>
      </c>
      <c r="D28" s="1">
        <v>19</v>
      </c>
      <c r="F28" s="5" t="s">
        <v>64</v>
      </c>
      <c r="G28" s="4">
        <v>29.736842105263158</v>
      </c>
      <c r="I28" s="5" t="s">
        <v>64</v>
      </c>
      <c r="J28" s="4">
        <v>9.6666666666666661</v>
      </c>
    </row>
    <row r="29" spans="3:10" x14ac:dyDescent="0.25">
      <c r="C29" s="5" t="s">
        <v>65</v>
      </c>
      <c r="D29" s="1">
        <v>20</v>
      </c>
      <c r="F29" s="5" t="s">
        <v>65</v>
      </c>
      <c r="G29" s="4">
        <v>37.75</v>
      </c>
      <c r="I29" s="5" t="s">
        <v>65</v>
      </c>
      <c r="J29" s="4">
        <v>6.125</v>
      </c>
    </row>
    <row r="30" spans="3:10" x14ac:dyDescent="0.25">
      <c r="C30" s="5" t="s">
        <v>66</v>
      </c>
      <c r="D30" s="1">
        <v>23</v>
      </c>
      <c r="F30" s="5" t="s">
        <v>66</v>
      </c>
      <c r="G30" s="4">
        <v>37.782608695652172</v>
      </c>
      <c r="I30" s="5" t="s">
        <v>66</v>
      </c>
      <c r="J30" s="4">
        <v>5.5555555555555554</v>
      </c>
    </row>
    <row r="31" spans="3:10" x14ac:dyDescent="0.25">
      <c r="C31" s="5" t="s">
        <v>67</v>
      </c>
      <c r="D31" s="1">
        <v>16</v>
      </c>
      <c r="F31" s="5" t="s">
        <v>67</v>
      </c>
      <c r="G31" s="4">
        <v>34.1875</v>
      </c>
      <c r="I31" s="5" t="s">
        <v>67</v>
      </c>
      <c r="J31" s="4">
        <v>6.333333333333333</v>
      </c>
    </row>
    <row r="32" spans="3:10" x14ac:dyDescent="0.25">
      <c r="C32" s="5" t="s">
        <v>68</v>
      </c>
      <c r="D32" s="1">
        <v>12</v>
      </c>
      <c r="F32" s="5" t="s">
        <v>68</v>
      </c>
      <c r="G32" s="4">
        <v>36.166666666666664</v>
      </c>
      <c r="I32" s="5" t="s">
        <v>68</v>
      </c>
      <c r="J32" s="4">
        <v>5.333333333333333</v>
      </c>
    </row>
    <row r="33" spans="1:10" x14ac:dyDescent="0.25">
      <c r="C33" s="5" t="s">
        <v>21</v>
      </c>
      <c r="D33" s="1">
        <v>506</v>
      </c>
      <c r="F33" s="5" t="s">
        <v>21</v>
      </c>
      <c r="G33" s="4">
        <v>35.581027667984188</v>
      </c>
      <c r="I33" s="5" t="s">
        <v>21</v>
      </c>
      <c r="J33" s="4">
        <v>5.1818181818181817</v>
      </c>
    </row>
    <row r="35" spans="1:10" x14ac:dyDescent="0.25">
      <c r="A35" s="2" t="s">
        <v>20</v>
      </c>
      <c r="B35" t="s">
        <v>23</v>
      </c>
      <c r="C35" t="s">
        <v>24</v>
      </c>
    </row>
    <row r="36" spans="1:10" x14ac:dyDescent="0.25">
      <c r="A36" s="5" t="s">
        <v>7</v>
      </c>
      <c r="B36" s="4">
        <v>252</v>
      </c>
      <c r="C36" s="6">
        <v>0.49802371541501977</v>
      </c>
    </row>
    <row r="37" spans="1:10" x14ac:dyDescent="0.25">
      <c r="A37" s="5" t="s">
        <v>19</v>
      </c>
      <c r="B37" s="4">
        <v>254</v>
      </c>
      <c r="C37" s="6">
        <v>0.50197628458498023</v>
      </c>
    </row>
    <row r="38" spans="1:10" x14ac:dyDescent="0.25">
      <c r="A38" s="5" t="s">
        <v>21</v>
      </c>
      <c r="B38" s="4">
        <v>506</v>
      </c>
      <c r="C38" s="6">
        <v>1</v>
      </c>
    </row>
    <row r="41" spans="1:10" ht="14.1" customHeight="1" x14ac:dyDescent="0.25">
      <c r="A41" s="7" t="s">
        <v>25</v>
      </c>
      <c r="B41" s="7" t="s">
        <v>26</v>
      </c>
      <c r="C41" s="7" t="s">
        <v>27</v>
      </c>
      <c r="D41" s="7" t="s">
        <v>28</v>
      </c>
    </row>
    <row r="42" spans="1:10" ht="14.1" customHeight="1" x14ac:dyDescent="0.25">
      <c r="A42" s="8" t="str">
        <f>A37</f>
        <v>Not Admitted</v>
      </c>
      <c r="B42" s="8">
        <f>B37</f>
        <v>254</v>
      </c>
      <c r="C42" s="9">
        <f>C37</f>
        <v>0.50197628458498023</v>
      </c>
      <c r="D42" s="8"/>
    </row>
    <row r="43" spans="1:10" ht="14.1" customHeight="1" x14ac:dyDescent="0.25">
      <c r="A43" s="8" t="str">
        <f>A36</f>
        <v>Admitted</v>
      </c>
      <c r="B43" s="8">
        <f>B36</f>
        <v>252</v>
      </c>
      <c r="C43" s="9">
        <f>C36</f>
        <v>0.49802371541501977</v>
      </c>
      <c r="D43" s="8"/>
    </row>
    <row r="47" spans="1:10" x14ac:dyDescent="0.25">
      <c r="A47" s="2" t="s">
        <v>20</v>
      </c>
      <c r="B47" t="s">
        <v>0</v>
      </c>
      <c r="D47" s="2" t="s">
        <v>20</v>
      </c>
      <c r="E47" t="s">
        <v>29</v>
      </c>
      <c r="G47" s="2" t="s">
        <v>20</v>
      </c>
      <c r="H47" t="s">
        <v>30</v>
      </c>
    </row>
    <row r="48" spans="1:10" x14ac:dyDescent="0.25">
      <c r="A48" s="5" t="s">
        <v>16</v>
      </c>
      <c r="B48" s="10">
        <v>54</v>
      </c>
      <c r="D48" s="5" t="s">
        <v>9</v>
      </c>
      <c r="E48" s="4">
        <v>311</v>
      </c>
      <c r="G48" s="5" t="s">
        <v>18</v>
      </c>
      <c r="H48" s="4">
        <v>233</v>
      </c>
    </row>
    <row r="49" spans="1:8" x14ac:dyDescent="0.25">
      <c r="A49" s="5" t="s">
        <v>11</v>
      </c>
      <c r="B49" s="10">
        <v>72</v>
      </c>
      <c r="D49" s="5" t="s">
        <v>12</v>
      </c>
      <c r="E49" s="4">
        <v>195</v>
      </c>
      <c r="G49" s="5" t="s">
        <v>5</v>
      </c>
      <c r="H49" s="4">
        <v>273</v>
      </c>
    </row>
    <row r="50" spans="1:8" x14ac:dyDescent="0.25">
      <c r="A50" s="5" t="s">
        <v>15</v>
      </c>
      <c r="B50" s="10">
        <v>75</v>
      </c>
      <c r="D50" s="5" t="s">
        <v>21</v>
      </c>
      <c r="E50" s="4">
        <v>506</v>
      </c>
      <c r="G50" s="5" t="s">
        <v>21</v>
      </c>
      <c r="H50" s="4">
        <v>506</v>
      </c>
    </row>
    <row r="51" spans="1:8" x14ac:dyDescent="0.25">
      <c r="A51" s="5" t="s">
        <v>17</v>
      </c>
      <c r="B51" s="10">
        <v>62</v>
      </c>
    </row>
    <row r="52" spans="1:8" x14ac:dyDescent="0.25">
      <c r="A52" s="5" t="s">
        <v>13</v>
      </c>
      <c r="B52" s="10">
        <v>63</v>
      </c>
    </row>
    <row r="53" spans="1:8" x14ac:dyDescent="0.25">
      <c r="A53" s="5" t="s">
        <v>14</v>
      </c>
      <c r="B53" s="10">
        <v>49</v>
      </c>
    </row>
    <row r="54" spans="1:8" x14ac:dyDescent="0.25">
      <c r="A54" s="5" t="s">
        <v>8</v>
      </c>
      <c r="B54" s="10">
        <v>74</v>
      </c>
    </row>
    <row r="55" spans="1:8" x14ac:dyDescent="0.25">
      <c r="A55" s="5" t="s">
        <v>10</v>
      </c>
      <c r="B55" s="10">
        <v>57</v>
      </c>
      <c r="D55" s="2" t="s">
        <v>20</v>
      </c>
      <c r="E55" t="s">
        <v>38</v>
      </c>
    </row>
    <row r="56" spans="1:8" x14ac:dyDescent="0.25">
      <c r="A56" s="5" t="s">
        <v>21</v>
      </c>
      <c r="B56" s="4">
        <v>506</v>
      </c>
      <c r="D56" s="5" t="s">
        <v>37</v>
      </c>
      <c r="E56" s="10">
        <v>2</v>
      </c>
    </row>
    <row r="57" spans="1:8" x14ac:dyDescent="0.25">
      <c r="D57" s="5" t="s">
        <v>32</v>
      </c>
      <c r="E57" s="10">
        <v>11</v>
      </c>
    </row>
    <row r="58" spans="1:8" x14ac:dyDescent="0.25">
      <c r="D58" s="5" t="s">
        <v>31</v>
      </c>
      <c r="E58" s="10">
        <v>12</v>
      </c>
      <c r="G58" s="2" t="s">
        <v>20</v>
      </c>
    </row>
    <row r="59" spans="1:8" x14ac:dyDescent="0.25">
      <c r="D59" s="5" t="s">
        <v>34</v>
      </c>
      <c r="E59" s="10">
        <v>15</v>
      </c>
      <c r="G59" s="5" t="s">
        <v>22</v>
      </c>
    </row>
    <row r="60" spans="1:8" x14ac:dyDescent="0.25">
      <c r="D60" s="5" t="s">
        <v>36</v>
      </c>
      <c r="E60" s="10">
        <v>18</v>
      </c>
      <c r="G60" s="5" t="s">
        <v>21</v>
      </c>
    </row>
    <row r="61" spans="1:8" x14ac:dyDescent="0.25">
      <c r="D61" s="5" t="s">
        <v>35</v>
      </c>
      <c r="E61" s="10">
        <v>60</v>
      </c>
    </row>
    <row r="62" spans="1:8" x14ac:dyDescent="0.25">
      <c r="D62" s="5" t="s">
        <v>33</v>
      </c>
      <c r="E62" s="10">
        <v>83</v>
      </c>
    </row>
    <row r="63" spans="1:8" x14ac:dyDescent="0.25">
      <c r="D63" s="5" t="s">
        <v>6</v>
      </c>
      <c r="E63" s="10">
        <v>305</v>
      </c>
    </row>
    <row r="64" spans="1:8" x14ac:dyDescent="0.25">
      <c r="D64" s="5" t="s">
        <v>21</v>
      </c>
      <c r="E64" s="4">
        <v>506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85876-4A11-43F0-B319-94847E9AD9CF}">
  <dimension ref="A1"/>
  <sheetViews>
    <sheetView showGridLines="0" zoomScale="90" zoomScaleNormal="90" workbookViewId="0"/>
  </sheetViews>
  <sheetFormatPr defaultRowHeight="15" x14ac:dyDescent="0.25"/>
  <cols>
    <col min="1" max="16384" width="9.140625" style="3"/>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EC775-3B73-4C42-9931-364B4BC0B524}">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1B042-8B2E-43C1-9D1A-3160254FD2BF}">
  <dimension ref="A1"/>
  <sheetViews>
    <sheetView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A3AFC-3AD9-43BD-AE32-60140B4C5E3E}">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720D4193-D07D-4667-BCB1-6FF7718CD72D}">
  <ds:schemaRefs/>
</ds:datastoreItem>
</file>

<file path=customXml/itemProps2.xml><?xml version="1.0" encoding="utf-8"?>
<ds:datastoreItem xmlns:ds="http://schemas.openxmlformats.org/officeDocument/2006/customXml" ds:itemID="{B1F8B3DD-9313-41B5-BBF8-3F56B9C2820A}">
  <ds:schemaRefs/>
</ds:datastoreItem>
</file>

<file path=customXml/itemProps3.xml><?xml version="1.0" encoding="utf-8"?>
<ds:datastoreItem xmlns:ds="http://schemas.openxmlformats.org/officeDocument/2006/customXml" ds:itemID="{A6FDE8FA-E504-451D-83A1-07D7CC5610C5}">
  <ds:schemaRefs/>
</ds:datastoreItem>
</file>

<file path=customXml/itemProps4.xml><?xml version="1.0" encoding="utf-8"?>
<ds:datastoreItem xmlns:ds="http://schemas.openxmlformats.org/officeDocument/2006/customXml" ds:itemID="{A635FC69-7298-460E-82F9-8A203DD49652}">
  <ds:schemaRefs>
    <ds:schemaRef ds:uri="http://schemas.microsoft.com/DataMashup"/>
  </ds:schemaRefs>
</ds:datastoreItem>
</file>

<file path=customXml/itemProps5.xml><?xml version="1.0" encoding="utf-8"?>
<ds:datastoreItem xmlns:ds="http://schemas.openxmlformats.org/officeDocument/2006/customXml" ds:itemID="{E93DB992-C630-4C73-A41B-8CF6F40F4587}">
  <ds:schemaRefs/>
</ds:datastoreItem>
</file>

<file path=customXml/itemProps6.xml><?xml version="1.0" encoding="utf-8"?>
<ds:datastoreItem xmlns:ds="http://schemas.openxmlformats.org/officeDocument/2006/customXml" ds:itemID="{DE051745-4112-4BCF-B21A-B7097B37326B}">
  <ds:schemaRefs/>
</ds:datastoreItem>
</file>

<file path=customXml/itemProps7.xml><?xml version="1.0" encoding="utf-8"?>
<ds:datastoreItem xmlns:ds="http://schemas.openxmlformats.org/officeDocument/2006/customXml" ds:itemID="{BCF2BAD0-8E22-4821-99D4-F1DACF2904EF}">
  <ds:schemaRefs/>
</ds:datastoreItem>
</file>

<file path=customXml/itemProps8.xml><?xml version="1.0" encoding="utf-8"?>
<ds:datastoreItem xmlns:ds="http://schemas.openxmlformats.org/officeDocument/2006/customXml" ds:itemID="{24C81670-563B-49C1-80F7-76ADA1AE9A31}">
  <ds:schemaRefs/>
</ds:datastoreItem>
</file>

<file path=customXml/itemProps9.xml><?xml version="1.0" encoding="utf-8"?>
<ds:datastoreItem xmlns:ds="http://schemas.openxmlformats.org/officeDocument/2006/customXml" ds:itemID="{B630C719-D55D-49B2-8652-6FD37CB70C0C}">
  <ds:schemaRefs/>
</ds:datastoreItem>
</file>

<file path=customXml/itemProps10.xml><?xml version="1.0" encoding="utf-8"?>
<ds:datastoreItem xmlns:ds="http://schemas.openxmlformats.org/officeDocument/2006/customXml" ds:itemID="{2BFE2EFF-9169-4C5A-8720-47BB30B9963B}">
  <ds:schemaRefs/>
</ds:datastoreItem>
</file>

<file path=customXml/itemProps11.xml><?xml version="1.0" encoding="utf-8"?>
<ds:datastoreItem xmlns:ds="http://schemas.openxmlformats.org/officeDocument/2006/customXml" ds:itemID="{C77C656E-3FC9-4F2B-BD11-87A81B4BC971}">
  <ds:schemaRefs/>
</ds:datastoreItem>
</file>

<file path=customXml/itemProps12.xml><?xml version="1.0" encoding="utf-8"?>
<ds:datastoreItem xmlns:ds="http://schemas.openxmlformats.org/officeDocument/2006/customXml" ds:itemID="{7DCE3AB0-DA80-40DF-AAB4-62A4E52CCEC7}">
  <ds:schemaRefs/>
</ds:datastoreItem>
</file>

<file path=customXml/itemProps13.xml><?xml version="1.0" encoding="utf-8"?>
<ds:datastoreItem xmlns:ds="http://schemas.openxmlformats.org/officeDocument/2006/customXml" ds:itemID="{CE3E22D1-E7F6-486A-A2AF-B88EA1136C10}">
  <ds:schemaRefs/>
</ds:datastoreItem>
</file>

<file path=customXml/itemProps14.xml><?xml version="1.0" encoding="utf-8"?>
<ds:datastoreItem xmlns:ds="http://schemas.openxmlformats.org/officeDocument/2006/customXml" ds:itemID="{4B3DE30B-C853-4999-AD28-FEBAA8B24F40}">
  <ds:schemaRefs/>
</ds:datastoreItem>
</file>

<file path=customXml/itemProps15.xml><?xml version="1.0" encoding="utf-8"?>
<ds:datastoreItem xmlns:ds="http://schemas.openxmlformats.org/officeDocument/2006/customXml" ds:itemID="{3B49F266-DB0A-4AC6-9347-06169E3601EB}">
  <ds:schemaRefs/>
</ds:datastoreItem>
</file>

<file path=customXml/itemProps16.xml><?xml version="1.0" encoding="utf-8"?>
<ds:datastoreItem xmlns:ds="http://schemas.openxmlformats.org/officeDocument/2006/customXml" ds:itemID="{C2D0F7F3-B435-4E10-BD9B-9B596C83D826}">
  <ds:schemaRefs/>
</ds:datastoreItem>
</file>

<file path=customXml/itemProps17.xml><?xml version="1.0" encoding="utf-8"?>
<ds:datastoreItem xmlns:ds="http://schemas.openxmlformats.org/officeDocument/2006/customXml" ds:itemID="{13C8DAF2-028F-476E-A9B5-4B5D2AD847E4}">
  <ds:schemaRefs/>
</ds:datastoreItem>
</file>

<file path=customXml/itemProps18.xml><?xml version="1.0" encoding="utf-8"?>
<ds:datastoreItem xmlns:ds="http://schemas.openxmlformats.org/officeDocument/2006/customXml" ds:itemID="{6306AB38-E899-46AA-B01E-838DD6E7FED2}">
  <ds:schemaRefs/>
</ds:datastoreItem>
</file>

<file path=customXml/itemProps19.xml><?xml version="1.0" encoding="utf-8"?>
<ds:datastoreItem xmlns:ds="http://schemas.openxmlformats.org/officeDocument/2006/customXml" ds:itemID="{B2BD8BB2-6D4E-4FFF-A4D5-B571D21D2D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Avg satisfaction score</vt:lpstr>
      <vt:lpstr>Avg wait time trend</vt:lpstr>
      <vt:lpstr>Daily ER No.of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saivijaya.ankadi@gmail.com</dc:creator>
  <cp:lastModifiedBy>saivijaya.ankadi@gmail.com</cp:lastModifiedBy>
  <cp:lastPrinted>2026-04-22T00:18:11Z</cp:lastPrinted>
  <dcterms:created xsi:type="dcterms:W3CDTF">2026-04-01T19:47:45Z</dcterms:created>
  <dcterms:modified xsi:type="dcterms:W3CDTF">2026-04-24T23:41:45Z</dcterms:modified>
</cp:coreProperties>
</file>